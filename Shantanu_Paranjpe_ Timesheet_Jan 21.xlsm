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paranjpe/Desktop/"/>
    </mc:Choice>
  </mc:AlternateContent>
  <xr:revisionPtr revIDLastSave="0" documentId="8_{4939928D-E3DE-274C-B8AF-F47F7CB39E4E}" xr6:coauthVersionLast="46" xr6:coauthVersionMax="46" xr10:uidLastSave="{00000000-0000-0000-0000-000000000000}"/>
  <bookViews>
    <workbookView xWindow="0" yWindow="500" windowWidth="33600" windowHeight="19180" tabRatio="500"/>
  </bookViews>
  <sheets>
    <sheet name="Timesheet" sheetId="1" r:id="rId1"/>
    <sheet name="Expense Claim" sheetId="2" r:id="rId2"/>
  </sheets>
  <definedNames>
    <definedName name="Excel_BuiltIn_Print_Area">Timesheet!$A$1:$N$99</definedName>
    <definedName name="Excel_BuiltIn_Print_Area_1">Timesheet!$A$1:$O$99</definedName>
    <definedName name="Excel_BuiltIn_Print_Area_2">'Expense Claim'!$A$1:$K$78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" i="2" l="1"/>
  <c r="J35" i="2"/>
  <c r="J42" i="2"/>
  <c r="I50" i="2"/>
  <c r="J51" i="2"/>
  <c r="J58" i="2" s="1"/>
  <c r="B17" i="1"/>
  <c r="C17" i="1"/>
  <c r="C18" i="1" s="1"/>
  <c r="D50" i="1"/>
  <c r="E50" i="1"/>
  <c r="F50" i="1"/>
  <c r="G50" i="1"/>
  <c r="H50" i="1"/>
  <c r="I50" i="1"/>
  <c r="B18" i="1" l="1"/>
  <c r="C19" i="1"/>
  <c r="C20" i="1" s="1"/>
  <c r="B20" i="1" s="1"/>
  <c r="B19" i="1" l="1"/>
  <c r="C21" i="1"/>
  <c r="C22" i="1"/>
  <c r="B21" i="1"/>
  <c r="B22" i="1" l="1"/>
  <c r="C23" i="1"/>
  <c r="B23" i="1" l="1"/>
  <c r="C24" i="1"/>
  <c r="B24" i="1" l="1"/>
  <c r="C25" i="1"/>
  <c r="C26" i="1" l="1"/>
  <c r="B25" i="1"/>
  <c r="B26" i="1" l="1"/>
  <c r="C27" i="1"/>
  <c r="C28" i="1" l="1"/>
  <c r="B27" i="1"/>
  <c r="B28" i="1" l="1"/>
  <c r="C29" i="1"/>
  <c r="B29" i="1" l="1"/>
  <c r="C30" i="1"/>
  <c r="C31" i="1" l="1"/>
  <c r="B30" i="1"/>
  <c r="C32" i="1" l="1"/>
  <c r="B31" i="1"/>
  <c r="B32" i="1" l="1"/>
  <c r="C33" i="1"/>
  <c r="C34" i="1" l="1"/>
  <c r="B33" i="1"/>
  <c r="C35" i="1" l="1"/>
  <c r="B34" i="1"/>
  <c r="B35" i="1" l="1"/>
  <c r="C36" i="1"/>
  <c r="B36" i="1" l="1"/>
  <c r="C37" i="1"/>
  <c r="C38" i="1" l="1"/>
  <c r="B37" i="1"/>
  <c r="B38" i="1" l="1"/>
  <c r="C39" i="1"/>
  <c r="C40" i="1" l="1"/>
  <c r="B39" i="1"/>
  <c r="B40" i="1" l="1"/>
  <c r="C41" i="1"/>
  <c r="B41" i="1" l="1"/>
  <c r="C42" i="1"/>
  <c r="B42" i="1" l="1"/>
  <c r="C43" i="1"/>
  <c r="C44" i="1" l="1"/>
  <c r="B43" i="1"/>
  <c r="B44" i="1" l="1"/>
  <c r="C45" i="1"/>
  <c r="C46" i="1" l="1"/>
  <c r="B46" i="1" s="1"/>
  <c r="B45" i="1"/>
</calcChain>
</file>

<file path=xl/comments1.xml><?xml version="1.0" encoding="utf-8"?>
<comments xmlns="http://schemas.openxmlformats.org/spreadsheetml/2006/main">
  <authors>
    <author/>
  </authors>
  <commentList>
    <comment ref="D10" authorId="0" shapeId="0">
      <text>
        <r>
          <rPr>
            <b/>
            <sz val="14"/>
            <color rgb="FF000000"/>
            <rFont val="Calibri"/>
            <family val="2"/>
          </rPr>
          <t xml:space="preserve">Change the Month here and it will change the days and dates below.
</t>
        </r>
      </text>
    </comment>
    <comment ref="D16" authorId="0" shapeId="0">
      <text>
        <r>
          <rPr>
            <sz val="8"/>
            <color indexed="8"/>
            <rFont val="Tahoma"/>
            <family val="2"/>
          </rPr>
          <t xml:space="preserve">
</t>
        </r>
        <r>
          <rPr>
            <b/>
            <sz val="14"/>
            <color indexed="8"/>
            <rFont val="Arial"/>
            <family val="2"/>
          </rPr>
          <t>1 day = 8 -10 hours</t>
        </r>
      </text>
    </comment>
    <comment ref="D50" authorId="0" shapeId="0">
      <text>
        <r>
          <rPr>
            <b/>
            <sz val="16"/>
            <color indexed="8"/>
            <rFont val="Calibri"/>
            <family val="2"/>
          </rPr>
          <t xml:space="preserve">No of Days
</t>
        </r>
      </text>
    </comment>
  </commentList>
</comments>
</file>

<file path=xl/sharedStrings.xml><?xml version="1.0" encoding="utf-8"?>
<sst xmlns="http://schemas.openxmlformats.org/spreadsheetml/2006/main" count="69" uniqueCount="58">
  <si>
    <t>Name of Consultant:</t>
  </si>
  <si>
    <t>Shantanu Paranjpe</t>
  </si>
  <si>
    <t xml:space="preserve">Month/Year: </t>
  </si>
  <si>
    <t>Please update this field Monthly</t>
  </si>
  <si>
    <t>Agency:</t>
  </si>
  <si>
    <t>CPL</t>
  </si>
  <si>
    <t>Agency Contact:</t>
  </si>
  <si>
    <t>Stephen Tighe</t>
  </si>
  <si>
    <t>Hours</t>
  </si>
  <si>
    <t>Day</t>
  </si>
  <si>
    <t>Date</t>
  </si>
  <si>
    <t>Expenses</t>
  </si>
  <si>
    <t>Thursday</t>
  </si>
  <si>
    <t>Total:</t>
  </si>
  <si>
    <t>___________________________________</t>
  </si>
  <si>
    <t>Totals</t>
  </si>
  <si>
    <t>Expenses incurred must be detailed in the Expenses Voucher</t>
  </si>
  <si>
    <t>Timesheet Authorisation</t>
  </si>
  <si>
    <t>Contractor Signature:</t>
  </si>
  <si>
    <t>SHANTANU PARANJPE</t>
  </si>
  <si>
    <t>Date:</t>
  </si>
  <si>
    <t>IBM Manager Signature:</t>
  </si>
  <si>
    <t>Darren Harte</t>
  </si>
  <si>
    <t>Additional IBM Confirmation:</t>
  </si>
  <si>
    <t>_______________________________________</t>
  </si>
  <si>
    <t>__________________________________</t>
  </si>
  <si>
    <t>(only where required for additional authorisation of hours; team lead, task manager, etc.)</t>
  </si>
  <si>
    <t>Manadatory Field</t>
  </si>
  <si>
    <t>Serial No.</t>
  </si>
  <si>
    <t xml:space="preserve"> Cashier to Complete</t>
  </si>
  <si>
    <t>Claimant Surname</t>
  </si>
  <si>
    <t>Init.</t>
  </si>
  <si>
    <t>Firstname</t>
  </si>
  <si>
    <t xml:space="preserve">       Payment No.</t>
  </si>
  <si>
    <t>Business Purpose</t>
  </si>
  <si>
    <t>Location(s) visited</t>
  </si>
  <si>
    <t>Public Transport (Air/Rail)</t>
  </si>
  <si>
    <t>NET</t>
  </si>
  <si>
    <t>Hotel/ Meals/ Car Hire</t>
  </si>
  <si>
    <t>Sub Total</t>
  </si>
  <si>
    <t>Other</t>
  </si>
  <si>
    <t>Auto Mileage Allowance Car Details (One Car Only)</t>
  </si>
  <si>
    <t>No. of KM per Trip</t>
  </si>
  <si>
    <t>Make</t>
  </si>
  <si>
    <t>Model</t>
  </si>
  <si>
    <t>Reg No.</t>
  </si>
  <si>
    <t>Rates per km</t>
  </si>
  <si>
    <t>Total km</t>
  </si>
  <si>
    <t>Total €</t>
  </si>
  <si>
    <t>TOTAL</t>
  </si>
  <si>
    <t>Less IBM Advances</t>
  </si>
  <si>
    <t>Advance No.</t>
  </si>
  <si>
    <t>Deduct Advance</t>
  </si>
  <si>
    <t>Above Do not use MINUS symbol</t>
  </si>
  <si>
    <t>Value in Words</t>
  </si>
  <si>
    <t>Claim/Refund</t>
  </si>
  <si>
    <t>Claimant Declaration</t>
  </si>
  <si>
    <t>Authorising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</si>
</sst>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;@"/>
    <numFmt numFmtId="165" formatCode="\€#,##0.00"/>
    <numFmt numFmtId="166" formatCode="dd/mm/yy"/>
    <numFmt numFmtId="167" formatCode="mm/dd/yyyy"/>
  </numFmts>
  <fonts count="22">
    <font>
      <sz val="12"/>
      <name val="Arial"/>
      <family val="2"/>
    </font>
    <font>
      <sz val="11"/>
      <name val="Arial"/>
      <family val="2"/>
    </font>
    <font>
      <sz val="11"/>
      <name val="IBMLogo"/>
    </font>
    <font>
      <b/>
      <sz val="16"/>
      <name val="Arial"/>
      <family val="2"/>
    </font>
    <font>
      <sz val="16"/>
      <name val="Arial"/>
      <family val="2"/>
    </font>
    <font>
      <sz val="15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15"/>
      <name val="Arial"/>
      <family val="2"/>
    </font>
    <font>
      <sz val="14"/>
      <color indexed="10"/>
      <name val="Arial"/>
      <family val="2"/>
    </font>
    <font>
      <sz val="11"/>
      <color indexed="10"/>
      <name val="Arial"/>
      <family val="2"/>
    </font>
    <font>
      <b/>
      <sz val="9"/>
      <name val="Arial"/>
      <family val="2"/>
    </font>
    <font>
      <u/>
      <sz val="14"/>
      <name val="Arial"/>
      <family val="2"/>
    </font>
    <font>
      <sz val="11"/>
      <color indexed="9"/>
      <name val="Arial"/>
      <family val="2"/>
    </font>
    <font>
      <b/>
      <sz val="12"/>
      <name val="Arial"/>
      <family val="2"/>
    </font>
    <font>
      <sz val="8"/>
      <color indexed="8"/>
      <name val="Tahoma"/>
      <family val="2"/>
    </font>
    <font>
      <b/>
      <sz val="14"/>
      <color indexed="8"/>
      <name val="Arial"/>
      <family val="2"/>
    </font>
    <font>
      <b/>
      <sz val="16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11"/>
        <bgColor indexed="49"/>
      </patternFill>
    </fill>
    <fill>
      <patternFill patternType="solid">
        <fgColor indexed="9"/>
        <bgColor indexed="26"/>
      </patternFill>
    </fill>
    <fill>
      <patternFill patternType="solid">
        <fgColor indexed="8"/>
        <bgColor indexed="58"/>
      </patternFill>
    </fill>
  </fills>
  <borders count="55">
    <border>
      <left/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medium">
        <color indexed="63"/>
      </left>
      <right/>
      <top style="medium">
        <color indexed="63"/>
      </top>
      <bottom style="medium">
        <color indexed="63"/>
      </bottom>
      <diagonal/>
    </border>
    <border>
      <left/>
      <right/>
      <top style="medium">
        <color indexed="63"/>
      </top>
      <bottom style="medium">
        <color indexed="63"/>
      </bottom>
      <diagonal/>
    </border>
    <border>
      <left/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medium">
        <color indexed="63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/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medium">
        <color indexed="63"/>
      </right>
      <top style="thin">
        <color indexed="8"/>
      </top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 style="thin">
        <color indexed="63"/>
      </right>
      <top style="thin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medium">
        <color indexed="63"/>
      </bottom>
      <diagonal/>
    </border>
    <border>
      <left style="thin">
        <color indexed="63"/>
      </left>
      <right/>
      <top style="thin">
        <color indexed="63"/>
      </top>
      <bottom style="medium">
        <color indexed="63"/>
      </bottom>
      <diagonal/>
    </border>
    <border>
      <left style="thin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/>
      <top style="thin">
        <color indexed="8"/>
      </top>
      <bottom/>
      <diagonal/>
    </border>
    <border>
      <left/>
      <right style="thick">
        <color indexed="8"/>
      </right>
      <top style="thin">
        <color indexed="8"/>
      </top>
      <bottom/>
      <diagonal/>
    </border>
    <border>
      <left style="thick">
        <color indexed="8"/>
      </left>
      <right/>
      <top/>
      <bottom/>
      <diagonal/>
    </border>
    <border>
      <left/>
      <right style="thick">
        <color indexed="8"/>
      </right>
      <top/>
      <bottom/>
      <diagonal/>
    </border>
    <border>
      <left style="thick">
        <color indexed="8"/>
      </left>
      <right/>
      <top/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/>
      <right/>
      <top/>
      <bottom style="double">
        <color indexed="8"/>
      </bottom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/>
      <right style="double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double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double">
        <color indexed="8"/>
      </left>
      <right style="medium">
        <color indexed="8"/>
      </right>
      <top/>
      <bottom/>
      <diagonal/>
    </border>
  </borders>
  <cellStyleXfs count="1">
    <xf numFmtId="0" fontId="0" fillId="0" borderId="0"/>
  </cellStyleXfs>
  <cellXfs count="150">
    <xf numFmtId="0" fontId="0" fillId="0" borderId="0" xfId="0"/>
    <xf numFmtId="0" fontId="0" fillId="0" borderId="0" xfId="0" applyNumberFormat="1" applyFont="1" applyBorder="1" applyAlignment="1"/>
    <xf numFmtId="0" fontId="1" fillId="0" borderId="1" xfId="0" applyNumberFormat="1" applyFont="1" applyBorder="1"/>
    <xf numFmtId="0" fontId="2" fillId="0" borderId="2" xfId="0" applyNumberFormat="1" applyFont="1" applyBorder="1" applyAlignment="1"/>
    <xf numFmtId="0" fontId="1" fillId="0" borderId="2" xfId="0" applyNumberFormat="1" applyFont="1" applyBorder="1"/>
    <xf numFmtId="0" fontId="0" fillId="0" borderId="3" xfId="0" applyNumberFormat="1" applyFont="1" applyBorder="1"/>
    <xf numFmtId="0" fontId="1" fillId="0" borderId="3" xfId="0" applyNumberFormat="1" applyFont="1" applyBorder="1"/>
    <xf numFmtId="0" fontId="1" fillId="0" borderId="0" xfId="0" applyNumberFormat="1" applyFont="1" applyBorder="1" applyAlignment="1"/>
    <xf numFmtId="0" fontId="3" fillId="0" borderId="0" xfId="0" applyNumberFormat="1" applyFont="1" applyBorder="1" applyAlignment="1"/>
    <xf numFmtId="0" fontId="4" fillId="0" borderId="0" xfId="0" applyNumberFormat="1" applyFont="1" applyBorder="1" applyAlignment="1"/>
    <xf numFmtId="0" fontId="5" fillId="0" borderId="0" xfId="0" applyNumberFormat="1" applyFont="1" applyBorder="1" applyAlignment="1"/>
    <xf numFmtId="0" fontId="6" fillId="0" borderId="0" xfId="0" applyNumberFormat="1" applyFont="1" applyBorder="1" applyAlignment="1"/>
    <xf numFmtId="17" fontId="3" fillId="0" borderId="0" xfId="0" applyNumberFormat="1" applyFont="1" applyBorder="1" applyAlignment="1"/>
    <xf numFmtId="0" fontId="5" fillId="0" borderId="0" xfId="0" applyNumberFormat="1" applyFont="1" applyBorder="1" applyAlignment="1">
      <alignment horizontal="right"/>
    </xf>
    <xf numFmtId="0" fontId="7" fillId="2" borderId="4" xfId="0" applyNumberFormat="1" applyFont="1" applyFill="1" applyBorder="1" applyAlignment="1"/>
    <xf numFmtId="0" fontId="6" fillId="2" borderId="5" xfId="0" applyNumberFormat="1" applyFont="1" applyFill="1" applyBorder="1" applyAlignment="1"/>
    <xf numFmtId="0" fontId="7" fillId="2" borderId="5" xfId="0" applyNumberFormat="1" applyFont="1" applyFill="1" applyBorder="1" applyAlignment="1">
      <alignment horizontal="center"/>
    </xf>
    <xf numFmtId="0" fontId="7" fillId="2" borderId="5" xfId="0" applyNumberFormat="1" applyFont="1" applyFill="1" applyBorder="1" applyAlignment="1">
      <alignment horizontal="left"/>
    </xf>
    <xf numFmtId="0" fontId="7" fillId="2" borderId="6" xfId="0" applyNumberFormat="1" applyFont="1" applyFill="1" applyBorder="1" applyAlignment="1">
      <alignment horizontal="left"/>
    </xf>
    <xf numFmtId="0" fontId="8" fillId="0" borderId="0" xfId="0" applyNumberFormat="1" applyFont="1" applyFill="1" applyBorder="1" applyAlignment="1">
      <alignment horizontal="left"/>
    </xf>
    <xf numFmtId="0" fontId="9" fillId="0" borderId="0" xfId="0" applyNumberFormat="1" applyFont="1" applyBorder="1" applyAlignment="1"/>
    <xf numFmtId="0" fontId="7" fillId="0" borderId="7" xfId="0" applyNumberFormat="1" applyFont="1" applyBorder="1" applyAlignment="1">
      <alignment horizontal="center"/>
    </xf>
    <xf numFmtId="0" fontId="7" fillId="0" borderId="8" xfId="0" applyNumberFormat="1" applyFont="1" applyBorder="1" applyAlignment="1">
      <alignment horizontal="center"/>
    </xf>
    <xf numFmtId="0" fontId="7" fillId="0" borderId="8" xfId="0" applyNumberFormat="1" applyFont="1" applyBorder="1" applyAlignment="1">
      <alignment horizontal="center" wrapText="1"/>
    </xf>
    <xf numFmtId="0" fontId="7" fillId="0" borderId="0" xfId="0" applyNumberFormat="1" applyFont="1" applyBorder="1" applyAlignment="1">
      <alignment horizontal="center" wrapText="1"/>
    </xf>
    <xf numFmtId="0" fontId="7" fillId="0" borderId="9" xfId="0" applyNumberFormat="1" applyFont="1" applyBorder="1" applyAlignment="1">
      <alignment horizontal="center" wrapText="1"/>
    </xf>
    <xf numFmtId="0" fontId="7" fillId="0" borderId="10" xfId="0" applyNumberFormat="1" applyFont="1" applyFill="1" applyBorder="1" applyAlignment="1">
      <alignment horizontal="center" wrapText="1"/>
    </xf>
    <xf numFmtId="0" fontId="7" fillId="0" borderId="11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center" wrapText="1"/>
    </xf>
    <xf numFmtId="0" fontId="8" fillId="0" borderId="0" xfId="0" applyNumberFormat="1" applyFont="1" applyBorder="1" applyAlignment="1"/>
    <xf numFmtId="0" fontId="6" fillId="0" borderId="12" xfId="0" applyNumberFormat="1" applyFont="1" applyBorder="1" applyAlignment="1"/>
    <xf numFmtId="164" fontId="6" fillId="0" borderId="13" xfId="0" applyNumberFormat="1" applyFont="1" applyBorder="1" applyAlignment="1">
      <alignment horizontal="center"/>
    </xf>
    <xf numFmtId="0" fontId="6" fillId="0" borderId="13" xfId="0" applyNumberFormat="1" applyFont="1" applyBorder="1" applyAlignment="1">
      <alignment horizontal="center"/>
    </xf>
    <xf numFmtId="0" fontId="6" fillId="0" borderId="14" xfId="0" applyNumberFormat="1" applyFont="1" applyBorder="1" applyAlignment="1">
      <alignment horizontal="center"/>
    </xf>
    <xf numFmtId="0" fontId="10" fillId="0" borderId="14" xfId="0" applyNumberFormat="1" applyFont="1" applyBorder="1" applyAlignment="1"/>
    <xf numFmtId="0" fontId="10" fillId="0" borderId="15" xfId="0" applyNumberFormat="1" applyFont="1" applyBorder="1" applyAlignment="1"/>
    <xf numFmtId="0" fontId="11" fillId="0" borderId="0" xfId="0" applyNumberFormat="1" applyFont="1" applyBorder="1" applyAlignment="1"/>
    <xf numFmtId="0" fontId="8" fillId="0" borderId="0" xfId="0" applyNumberFormat="1" applyFont="1" applyFill="1" applyBorder="1" applyAlignment="1"/>
    <xf numFmtId="0" fontId="1" fillId="0" borderId="0" xfId="0" applyNumberFormat="1" applyFont="1" applyFill="1" applyBorder="1" applyAlignment="1"/>
    <xf numFmtId="0" fontId="7" fillId="0" borderId="0" xfId="0" applyNumberFormat="1" applyFont="1" applyFill="1" applyBorder="1" applyAlignment="1"/>
    <xf numFmtId="0" fontId="0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horizontal="right"/>
    </xf>
    <xf numFmtId="165" fontId="8" fillId="0" borderId="0" xfId="0" applyNumberFormat="1" applyFont="1" applyFill="1" applyBorder="1" applyAlignment="1"/>
    <xf numFmtId="0" fontId="0" fillId="0" borderId="0" xfId="0" applyNumberFormat="1" applyBorder="1" applyAlignment="1"/>
    <xf numFmtId="0" fontId="12" fillId="0" borderId="0" xfId="0" applyNumberFormat="1" applyFont="1" applyFill="1" applyBorder="1" applyAlignment="1"/>
    <xf numFmtId="0" fontId="13" fillId="0" borderId="14" xfId="0" applyNumberFormat="1" applyFont="1" applyBorder="1" applyAlignment="1">
      <alignment horizontal="center"/>
    </xf>
    <xf numFmtId="0" fontId="7" fillId="2" borderId="16" xfId="0" applyNumberFormat="1" applyFont="1" applyFill="1" applyBorder="1" applyAlignment="1"/>
    <xf numFmtId="0" fontId="8" fillId="2" borderId="17" xfId="0" applyNumberFormat="1" applyFont="1" applyFill="1" applyBorder="1" applyAlignment="1"/>
    <xf numFmtId="0" fontId="1" fillId="2" borderId="18" xfId="0" applyNumberFormat="1" applyFont="1" applyFill="1" applyBorder="1" applyAlignment="1"/>
    <xf numFmtId="0" fontId="7" fillId="0" borderId="12" xfId="0" applyNumberFormat="1" applyFont="1" applyBorder="1" applyAlignment="1"/>
    <xf numFmtId="0" fontId="0" fillId="0" borderId="19" xfId="0" applyNumberFormat="1" applyFont="1" applyBorder="1" applyAlignment="1"/>
    <xf numFmtId="0" fontId="0" fillId="0" borderId="20" xfId="0" applyNumberFormat="1" applyFont="1" applyBorder="1" applyAlignment="1"/>
    <xf numFmtId="0" fontId="0" fillId="0" borderId="21" xfId="0" applyNumberFormat="1" applyFont="1" applyBorder="1" applyAlignment="1"/>
    <xf numFmtId="0" fontId="0" fillId="0" borderId="7" xfId="0" applyNumberFormat="1" applyFont="1" applyBorder="1" applyAlignment="1"/>
    <xf numFmtId="0" fontId="8" fillId="0" borderId="22" xfId="0" applyNumberFormat="1" applyFont="1" applyBorder="1" applyAlignment="1"/>
    <xf numFmtId="0" fontId="7" fillId="0" borderId="23" xfId="0" applyNumberFormat="1" applyFont="1" applyBorder="1" applyAlignment="1"/>
    <xf numFmtId="164" fontId="6" fillId="0" borderId="24" xfId="0" applyNumberFormat="1" applyFont="1" applyBorder="1" applyAlignment="1">
      <alignment horizontal="center"/>
    </xf>
    <xf numFmtId="0" fontId="6" fillId="0" borderId="24" xfId="0" applyNumberFormat="1" applyFont="1" applyBorder="1" applyAlignment="1">
      <alignment horizontal="center"/>
    </xf>
    <xf numFmtId="0" fontId="6" fillId="0" borderId="25" xfId="0" applyNumberFormat="1" applyFont="1" applyBorder="1" applyAlignment="1">
      <alignment horizontal="center"/>
    </xf>
    <xf numFmtId="0" fontId="10" fillId="0" borderId="25" xfId="0" applyNumberFormat="1" applyFont="1" applyBorder="1" applyAlignment="1"/>
    <xf numFmtId="0" fontId="10" fillId="0" borderId="26" xfId="0" applyNumberFormat="1" applyFont="1" applyBorder="1" applyAlignment="1"/>
    <xf numFmtId="0" fontId="1" fillId="0" borderId="7" xfId="0" applyNumberFormat="1" applyFont="1" applyBorder="1" applyAlignment="1">
      <alignment horizontal="right"/>
    </xf>
    <xf numFmtId="0" fontId="7" fillId="0" borderId="0" xfId="0" applyNumberFormat="1" applyFont="1" applyBorder="1" applyAlignment="1"/>
    <xf numFmtId="0" fontId="14" fillId="0" borderId="0" xfId="0" applyNumberFormat="1" applyFont="1" applyBorder="1" applyAlignment="1"/>
    <xf numFmtId="0" fontId="1" fillId="0" borderId="7" xfId="0" applyNumberFormat="1" applyFont="1" applyBorder="1" applyAlignment="1"/>
    <xf numFmtId="0" fontId="1" fillId="0" borderId="22" xfId="0" applyNumberFormat="1" applyFont="1" applyBorder="1" applyAlignment="1"/>
    <xf numFmtId="0" fontId="12" fillId="0" borderId="27" xfId="0" applyNumberFormat="1" applyFont="1" applyFill="1" applyBorder="1" applyAlignment="1"/>
    <xf numFmtId="0" fontId="8" fillId="0" borderId="28" xfId="0" applyNumberFormat="1" applyFont="1" applyFill="1" applyBorder="1" applyAlignment="1"/>
    <xf numFmtId="0" fontId="8" fillId="0" borderId="29" xfId="0" applyNumberFormat="1" applyFont="1" applyFill="1" applyBorder="1" applyAlignment="1"/>
    <xf numFmtId="0" fontId="7" fillId="2" borderId="30" xfId="0" applyNumberFormat="1" applyFont="1" applyFill="1" applyBorder="1" applyAlignment="1"/>
    <xf numFmtId="0" fontId="8" fillId="2" borderId="31" xfId="0" applyNumberFormat="1" applyFont="1" applyFill="1" applyBorder="1" applyAlignment="1"/>
    <xf numFmtId="0" fontId="1" fillId="2" borderId="31" xfId="0" applyNumberFormat="1" applyFont="1" applyFill="1" applyBorder="1" applyAlignment="1"/>
    <xf numFmtId="0" fontId="1" fillId="2" borderId="32" xfId="0" applyNumberFormat="1" applyFont="1" applyFill="1" applyBorder="1" applyAlignment="1"/>
    <xf numFmtId="0" fontId="15" fillId="0" borderId="33" xfId="0" applyNumberFormat="1" applyFont="1" applyFill="1" applyBorder="1" applyAlignment="1"/>
    <xf numFmtId="0" fontId="8" fillId="0" borderId="20" xfId="0" applyNumberFormat="1" applyFont="1" applyFill="1" applyBorder="1" applyAlignment="1"/>
    <xf numFmtId="0" fontId="1" fillId="0" borderId="20" xfId="0" applyNumberFormat="1" applyFont="1" applyFill="1" applyBorder="1" applyAlignment="1"/>
    <xf numFmtId="0" fontId="1" fillId="0" borderId="34" xfId="0" applyNumberFormat="1" applyFont="1" applyFill="1" applyBorder="1" applyAlignment="1"/>
    <xf numFmtId="0" fontId="1" fillId="0" borderId="35" xfId="0" applyNumberFormat="1" applyFont="1" applyBorder="1" applyAlignment="1"/>
    <xf numFmtId="0" fontId="1" fillId="0" borderId="36" xfId="0" applyNumberFormat="1" applyFont="1" applyBorder="1" applyAlignment="1"/>
    <xf numFmtId="0" fontId="8" fillId="0" borderId="35" xfId="0" applyNumberFormat="1" applyFont="1" applyBorder="1" applyAlignment="1"/>
    <xf numFmtId="0" fontId="8" fillId="0" borderId="36" xfId="0" applyNumberFormat="1" applyFont="1" applyBorder="1" applyAlignment="1"/>
    <xf numFmtId="166" fontId="8" fillId="0" borderId="36" xfId="0" applyNumberFormat="1" applyFont="1" applyBorder="1" applyAlignment="1"/>
    <xf numFmtId="0" fontId="1" fillId="0" borderId="37" xfId="0" applyNumberFormat="1" applyFont="1" applyBorder="1" applyAlignment="1"/>
    <xf numFmtId="0" fontId="1" fillId="0" borderId="38" xfId="0" applyNumberFormat="1" applyFont="1" applyBorder="1" applyAlignment="1"/>
    <xf numFmtId="0" fontId="8" fillId="0" borderId="38" xfId="0" applyNumberFormat="1" applyFont="1" applyBorder="1" applyAlignment="1"/>
    <xf numFmtId="0" fontId="1" fillId="0" borderId="39" xfId="0" applyNumberFormat="1" applyFont="1" applyBorder="1" applyAlignment="1"/>
    <xf numFmtId="0" fontId="1" fillId="0" borderId="40" xfId="0" applyNumberFormat="1" applyFont="1" applyBorder="1" applyAlignment="1"/>
    <xf numFmtId="0" fontId="8" fillId="0" borderId="40" xfId="0" applyNumberFormat="1" applyFont="1" applyBorder="1" applyAlignment="1"/>
    <xf numFmtId="0" fontId="1" fillId="0" borderId="41" xfId="0" applyNumberFormat="1" applyFont="1" applyBorder="1"/>
    <xf numFmtId="0" fontId="1" fillId="0" borderId="42" xfId="0" applyNumberFormat="1" applyFont="1" applyBorder="1" applyAlignment="1"/>
    <xf numFmtId="0" fontId="1" fillId="0" borderId="43" xfId="0" applyNumberFormat="1" applyFont="1" applyBorder="1"/>
    <xf numFmtId="0" fontId="1" fillId="0" borderId="44" xfId="0" applyNumberFormat="1" applyFont="1" applyBorder="1" applyAlignment="1"/>
    <xf numFmtId="0" fontId="19" fillId="0" borderId="0" xfId="0" applyNumberFormat="1" applyFont="1" applyBorder="1" applyAlignment="1"/>
    <xf numFmtId="0" fontId="20" fillId="0" borderId="0" xfId="0" applyNumberFormat="1" applyFont="1" applyBorder="1" applyAlignment="1"/>
    <xf numFmtId="0" fontId="20" fillId="3" borderId="45" xfId="0" applyNumberFormat="1" applyFont="1" applyFill="1" applyBorder="1" applyAlignment="1"/>
    <xf numFmtId="0" fontId="19" fillId="0" borderId="46" xfId="0" applyNumberFormat="1" applyFont="1" applyBorder="1" applyAlignment="1"/>
    <xf numFmtId="0" fontId="20" fillId="0" borderId="45" xfId="0" applyNumberFormat="1" applyFont="1" applyBorder="1" applyAlignment="1"/>
    <xf numFmtId="0" fontId="1" fillId="0" borderId="47" xfId="0" applyNumberFormat="1" applyFont="1" applyBorder="1"/>
    <xf numFmtId="0" fontId="1" fillId="0" borderId="48" xfId="0" applyNumberFormat="1" applyFont="1" applyBorder="1" applyAlignment="1"/>
    <xf numFmtId="0" fontId="1" fillId="0" borderId="46" xfId="0" applyNumberFormat="1" applyFont="1" applyBorder="1" applyAlignment="1">
      <alignment horizontal="center"/>
    </xf>
    <xf numFmtId="0" fontId="1" fillId="3" borderId="45" xfId="0" applyNumberFormat="1" applyFont="1" applyFill="1" applyBorder="1" applyAlignment="1">
      <alignment horizontal="center"/>
    </xf>
    <xf numFmtId="0" fontId="1" fillId="3" borderId="48" xfId="0" applyNumberFormat="1" applyFont="1" applyFill="1" applyBorder="1" applyAlignment="1">
      <alignment horizontal="center"/>
    </xf>
    <xf numFmtId="0" fontId="1" fillId="0" borderId="46" xfId="0" applyNumberFormat="1" applyFont="1" applyBorder="1" applyAlignment="1"/>
    <xf numFmtId="0" fontId="1" fillId="4" borderId="46" xfId="0" applyNumberFormat="1" applyFont="1" applyFill="1" applyBorder="1" applyAlignment="1"/>
    <xf numFmtId="0" fontId="1" fillId="0" borderId="47" xfId="0" applyNumberFormat="1" applyFont="1" applyBorder="1" applyAlignment="1"/>
    <xf numFmtId="0" fontId="8" fillId="3" borderId="45" xfId="0" applyNumberFormat="1" applyFont="1" applyFill="1" applyBorder="1" applyAlignment="1">
      <alignment horizontal="center"/>
    </xf>
    <xf numFmtId="167" fontId="1" fillId="3" borderId="45" xfId="0" applyNumberFormat="1" applyFont="1" applyFill="1" applyBorder="1" applyAlignment="1"/>
    <xf numFmtId="0" fontId="1" fillId="4" borderId="45" xfId="0" applyNumberFormat="1" applyFont="1" applyFill="1" applyBorder="1" applyAlignment="1"/>
    <xf numFmtId="0" fontId="8" fillId="3" borderId="45" xfId="0" applyNumberFormat="1" applyFont="1" applyFill="1" applyBorder="1" applyAlignment="1"/>
    <xf numFmtId="0" fontId="1" fillId="3" borderId="48" xfId="0" applyNumberFormat="1" applyFont="1" applyFill="1" applyBorder="1" applyAlignment="1"/>
    <xf numFmtId="0" fontId="1" fillId="0" borderId="45" xfId="0" applyNumberFormat="1" applyFont="1" applyBorder="1" applyAlignment="1"/>
    <xf numFmtId="0" fontId="8" fillId="4" borderId="50" xfId="0" applyNumberFormat="1" applyFont="1" applyFill="1" applyBorder="1" applyAlignment="1">
      <alignment horizontal="center"/>
    </xf>
    <xf numFmtId="0" fontId="8" fillId="4" borderId="45" xfId="0" applyNumberFormat="1" applyFont="1" applyFill="1" applyBorder="1" applyAlignment="1">
      <alignment horizontal="center"/>
    </xf>
    <xf numFmtId="0" fontId="1" fillId="4" borderId="47" xfId="0" applyNumberFormat="1" applyFont="1" applyFill="1" applyBorder="1" applyAlignment="1">
      <alignment horizontal="center"/>
    </xf>
    <xf numFmtId="167" fontId="1" fillId="4" borderId="45" xfId="0" applyNumberFormat="1" applyFont="1" applyFill="1" applyBorder="1" applyAlignment="1"/>
    <xf numFmtId="0" fontId="1" fillId="4" borderId="48" xfId="0" applyNumberFormat="1" applyFont="1" applyFill="1" applyBorder="1" applyAlignment="1"/>
    <xf numFmtId="0" fontId="1" fillId="0" borderId="51" xfId="0" applyNumberFormat="1" applyFont="1" applyFill="1" applyBorder="1" applyAlignment="1"/>
    <xf numFmtId="2" fontId="1" fillId="4" borderId="45" xfId="0" applyNumberFormat="1" applyFont="1" applyFill="1" applyBorder="1" applyAlignment="1"/>
    <xf numFmtId="0" fontId="1" fillId="0" borderId="48" xfId="0" applyNumberFormat="1" applyFont="1" applyFill="1" applyBorder="1" applyAlignment="1"/>
    <xf numFmtId="0" fontId="8" fillId="0" borderId="48" xfId="0" applyNumberFormat="1" applyFont="1" applyBorder="1" applyAlignment="1"/>
    <xf numFmtId="2" fontId="1" fillId="4" borderId="48" xfId="0" applyNumberFormat="1" applyFont="1" applyFill="1" applyBorder="1" applyAlignment="1"/>
    <xf numFmtId="0" fontId="1" fillId="0" borderId="3" xfId="0" applyNumberFormat="1" applyFont="1" applyFill="1" applyBorder="1"/>
    <xf numFmtId="0" fontId="1" fillId="0" borderId="3" xfId="0" applyNumberFormat="1" applyFont="1" applyFill="1" applyBorder="1" applyAlignment="1"/>
    <xf numFmtId="0" fontId="1" fillId="0" borderId="48" xfId="0" applyNumberFormat="1" applyFont="1" applyBorder="1" applyAlignment="1">
      <alignment horizontal="center"/>
    </xf>
    <xf numFmtId="2" fontId="20" fillId="0" borderId="49" xfId="0" applyNumberFormat="1" applyFont="1" applyBorder="1" applyAlignment="1"/>
    <xf numFmtId="0" fontId="1" fillId="4" borderId="47" xfId="0" applyNumberFormat="1" applyFont="1" applyFill="1" applyBorder="1" applyAlignment="1"/>
    <xf numFmtId="0" fontId="1" fillId="4" borderId="52" xfId="0" applyNumberFormat="1" applyFont="1" applyFill="1" applyBorder="1" applyAlignment="1"/>
    <xf numFmtId="0" fontId="1" fillId="4" borderId="53" xfId="0" applyNumberFormat="1" applyFont="1" applyFill="1" applyBorder="1" applyAlignment="1"/>
    <xf numFmtId="0" fontId="1" fillId="0" borderId="44" xfId="0" applyNumberFormat="1" applyFont="1" applyBorder="1"/>
    <xf numFmtId="0" fontId="8" fillId="0" borderId="0" xfId="0" applyNumberFormat="1" applyFont="1" applyBorder="1" applyAlignment="1">
      <alignment horizontal="center"/>
    </xf>
    <xf numFmtId="0" fontId="1" fillId="5" borderId="45" xfId="0" applyNumberFormat="1" applyFont="1" applyFill="1" applyBorder="1" applyAlignment="1"/>
    <xf numFmtId="0" fontId="20" fillId="0" borderId="54" xfId="0" applyNumberFormat="1" applyFont="1" applyBorder="1" applyAlignment="1"/>
    <xf numFmtId="0" fontId="20" fillId="0" borderId="45" xfId="0" applyNumberFormat="1" applyFont="1" applyBorder="1" applyAlignment="1">
      <alignment horizontal="center"/>
    </xf>
    <xf numFmtId="0" fontId="1" fillId="5" borderId="48" xfId="0" applyNumberFormat="1" applyFont="1" applyFill="1" applyBorder="1" applyAlignment="1"/>
    <xf numFmtId="2" fontId="1" fillId="0" borderId="45" xfId="0" applyNumberFormat="1" applyFont="1" applyBorder="1" applyAlignment="1"/>
    <xf numFmtId="2" fontId="1" fillId="4" borderId="46" xfId="0" applyNumberFormat="1" applyFont="1" applyFill="1" applyBorder="1" applyAlignment="1"/>
    <xf numFmtId="0" fontId="1" fillId="0" borderId="48" xfId="0" applyNumberFormat="1" applyFont="1" applyBorder="1" applyAlignment="1">
      <alignment horizontal="right"/>
    </xf>
    <xf numFmtId="0" fontId="20" fillId="0" borderId="0" xfId="0" applyNumberFormat="1" applyFont="1" applyBorder="1" applyAlignment="1">
      <alignment horizontal="center"/>
    </xf>
    <xf numFmtId="0" fontId="20" fillId="0" borderId="48" xfId="0" applyNumberFormat="1" applyFont="1" applyBorder="1" applyAlignment="1"/>
    <xf numFmtId="0" fontId="1" fillId="3" borderId="45" xfId="0" applyNumberFormat="1" applyFont="1" applyFill="1" applyBorder="1" applyAlignment="1"/>
    <xf numFmtId="0" fontId="1" fillId="0" borderId="47" xfId="0" applyNumberFormat="1" applyFont="1" applyFill="1" applyBorder="1" applyAlignment="1"/>
    <xf numFmtId="0" fontId="1" fillId="4" borderId="0" xfId="0" applyNumberFormat="1" applyFont="1" applyFill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2" fontId="1" fillId="3" borderId="45" xfId="0" applyNumberFormat="1" applyFont="1" applyFill="1" applyBorder="1" applyAlignment="1"/>
    <xf numFmtId="2" fontId="1" fillId="0" borderId="48" xfId="0" applyNumberFormat="1" applyFont="1" applyFill="1" applyBorder="1" applyAlignment="1"/>
    <xf numFmtId="0" fontId="1" fillId="0" borderId="44" xfId="0" applyNumberFormat="1" applyFont="1" applyFill="1" applyBorder="1" applyAlignment="1"/>
    <xf numFmtId="0" fontId="0" fillId="0" borderId="2" xfId="0" applyNumberFormat="1" applyFont="1" applyBorder="1"/>
    <xf numFmtId="0" fontId="1" fillId="3" borderId="49" xfId="0" applyNumberFormat="1" applyFont="1" applyFill="1" applyBorder="1" applyAlignment="1">
      <alignment horizontal="center"/>
    </xf>
    <xf numFmtId="0" fontId="8" fillId="3" borderId="49" xfId="0" applyNumberFormat="1" applyFont="1" applyFill="1" applyBorder="1" applyAlignment="1">
      <alignment horizontal="center"/>
    </xf>
    <xf numFmtId="14" fontId="7" fillId="0" borderId="36" xfId="0" applyNumberFormat="1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2E3436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838200</xdr:colOff>
      <xdr:row>0</xdr:row>
      <xdr:rowOff>63500</xdr:rowOff>
    </xdr:from>
    <xdr:to>
      <xdr:col>12</xdr:col>
      <xdr:colOff>63500</xdr:colOff>
      <xdr:row>3</xdr:row>
      <xdr:rowOff>152400</xdr:rowOff>
    </xdr:to>
    <xdr:sp macro="" textlink="" fLocksText="0">
      <xdr:nvSpPr>
        <xdr:cNvPr id="1028" name="Text Box 1">
          <a:extLst>
            <a:ext uri="{FF2B5EF4-FFF2-40B4-BE49-F238E27FC236}">
              <a16:creationId xmlns:a16="http://schemas.microsoft.com/office/drawing/2014/main" id="{53DAEE99-DEDB-8046-A53F-6586E8C701A2}"/>
            </a:ext>
          </a:extLst>
        </xdr:cNvPr>
        <xdr:cNvSpPr txBox="1">
          <a:spLocks noChangeArrowheads="1"/>
        </xdr:cNvSpPr>
      </xdr:nvSpPr>
      <xdr:spPr bwMode="auto">
        <a:xfrm>
          <a:off x="3771900" y="63500"/>
          <a:ext cx="8204200" cy="736600"/>
        </a:xfrm>
        <a:prstGeom prst="rect">
          <a:avLst/>
        </a:prstGeom>
        <a:solidFill>
          <a:srgbClr val="FFFF00"/>
        </a:solidFill>
        <a:ln w="9360" cap="sq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/>
        <a:lstStyle/>
        <a:p>
          <a:pPr algn="ctr" rtl="0">
            <a:defRPr sz="1000"/>
          </a:pPr>
          <a:r>
            <a:rPr lang="en-GB" sz="2400" b="0" i="0" u="none" strike="noStrike" baseline="0">
              <a:solidFill>
                <a:srgbClr val="000000"/>
              </a:solidFill>
              <a:latin typeface="Gill Sans" pitchFamily="2" charset="0"/>
              <a:cs typeface="Gill Sans" pitchFamily="2" charset="0"/>
            </a:rPr>
            <a:t>IBM Ireland Contractor Timesheet                                           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596900</xdr:colOff>
      <xdr:row>7</xdr:row>
      <xdr:rowOff>38100</xdr:rowOff>
    </xdr:to>
    <xdr:pic>
      <xdr:nvPicPr>
        <xdr:cNvPr id="1029" name="Picture 2">
          <a:extLst>
            <a:ext uri="{FF2B5EF4-FFF2-40B4-BE49-F238E27FC236}">
              <a16:creationId xmlns:a16="http://schemas.microsoft.com/office/drawing/2014/main" id="{1DE22D2D-E13C-8F46-B9FF-A744D7A85E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900" y="431800"/>
          <a:ext cx="2463800" cy="11176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673100</xdr:colOff>
      <xdr:row>2</xdr:row>
      <xdr:rowOff>88900</xdr:rowOff>
    </xdr:from>
    <xdr:to>
      <xdr:col>12</xdr:col>
      <xdr:colOff>2565400</xdr:colOff>
      <xdr:row>7</xdr:row>
      <xdr:rowOff>165100</xdr:rowOff>
    </xdr:to>
    <xdr:pic>
      <xdr:nvPicPr>
        <xdr:cNvPr id="1030" name="Picture 0">
          <a:extLst>
            <a:ext uri="{FF2B5EF4-FFF2-40B4-BE49-F238E27FC236}">
              <a16:creationId xmlns:a16="http://schemas.microsoft.com/office/drawing/2014/main" id="{5BD089BA-C481-374F-902F-378D3BC46B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85700" y="520700"/>
          <a:ext cx="1892300" cy="1155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63500</xdr:rowOff>
    </xdr:from>
    <xdr:to>
      <xdr:col>10</xdr:col>
      <xdr:colOff>165100</xdr:colOff>
      <xdr:row>1</xdr:row>
      <xdr:rowOff>25400</xdr:rowOff>
    </xdr:to>
    <xdr:sp macro="" textlink="" fLocksText="0">
      <xdr:nvSpPr>
        <xdr:cNvPr id="2049" name="Text Box 1">
          <a:extLst>
            <a:ext uri="{FF2B5EF4-FFF2-40B4-BE49-F238E27FC236}">
              <a16:creationId xmlns:a16="http://schemas.microsoft.com/office/drawing/2014/main" id="{F958D8E7-4BE1-F847-880A-52EF52AC7C1F}"/>
            </a:ext>
          </a:extLst>
        </xdr:cNvPr>
        <xdr:cNvSpPr txBox="1">
          <a:spLocks noChangeArrowheads="1"/>
        </xdr:cNvSpPr>
      </xdr:nvSpPr>
      <xdr:spPr bwMode="auto">
        <a:xfrm>
          <a:off x="203200" y="63500"/>
          <a:ext cx="11899900" cy="508000"/>
        </a:xfrm>
        <a:prstGeom prst="rect">
          <a:avLst/>
        </a:prstGeom>
        <a:solidFill>
          <a:srgbClr val="CCFFFF"/>
        </a:solidFill>
        <a:ln w="9360" cap="sq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/>
        <a:lstStyle/>
        <a:p>
          <a:pPr algn="ctr" rtl="0">
            <a:defRPr sz="1000"/>
          </a:pPr>
          <a:r>
            <a:rPr lang="en-GB" sz="2400" b="0" i="0" u="none" strike="noStrike" baseline="0">
              <a:solidFill>
                <a:srgbClr val="000000"/>
              </a:solidFill>
              <a:latin typeface="Gill Sans" pitchFamily="2" charset="0"/>
              <a:cs typeface="Gill Sans" pitchFamily="2" charset="0"/>
            </a:rPr>
            <a:t>    IBM Ireland Contractor Expense Voucher</a:t>
          </a:r>
        </a:p>
      </xdr:txBody>
    </xdr:sp>
    <xdr:clientData/>
  </xdr:twoCellAnchor>
  <xdr:twoCellAnchor>
    <xdr:from>
      <xdr:col>0</xdr:col>
      <xdr:colOff>139700</xdr:colOff>
      <xdr:row>49</xdr:row>
      <xdr:rowOff>38100</xdr:rowOff>
    </xdr:from>
    <xdr:to>
      <xdr:col>4</xdr:col>
      <xdr:colOff>406400</xdr:colOff>
      <xdr:row>54</xdr:row>
      <xdr:rowOff>76200</xdr:rowOff>
    </xdr:to>
    <xdr:sp macro="" textlink="" fLocksText="0">
      <xdr:nvSpPr>
        <xdr:cNvPr id="2050" name="Text Box 2">
          <a:extLst>
            <a:ext uri="{FF2B5EF4-FFF2-40B4-BE49-F238E27FC236}">
              <a16:creationId xmlns:a16="http://schemas.microsoft.com/office/drawing/2014/main" id="{C0041513-FC9E-B64F-A247-6414DEDB37CC}"/>
            </a:ext>
          </a:extLst>
        </xdr:cNvPr>
        <xdr:cNvSpPr txBox="1">
          <a:spLocks noChangeArrowheads="1"/>
        </xdr:cNvSpPr>
      </xdr:nvSpPr>
      <xdr:spPr bwMode="auto">
        <a:xfrm>
          <a:off x="139700" y="10820400"/>
          <a:ext cx="3390900" cy="762000"/>
        </a:xfrm>
        <a:prstGeom prst="rect">
          <a:avLst/>
        </a:prstGeom>
        <a:solidFill>
          <a:srgbClr val="CCFFFF"/>
        </a:solidFill>
        <a:ln w="9360" cap="sq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/>
        <a:lstStyle/>
        <a:p>
          <a:pPr algn="l" rtl="0">
            <a:lnSpc>
              <a:spcPts val="800"/>
            </a:lnSpc>
            <a:defRPr sz="1000"/>
          </a:pPr>
          <a:r>
            <a:rPr lang="en-GB" sz="9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CHARGE OUT DETAILS (to other department)</a:t>
          </a:r>
        </a:p>
        <a:p>
          <a:pPr algn="l" rtl="0">
            <a:lnSpc>
              <a:spcPts val="800"/>
            </a:lnSpc>
            <a:defRPr sz="1000"/>
          </a:pPr>
          <a:r>
            <a:rPr lang="en-GB" sz="9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Enter Dept. only if charges are going to a Dept. other than the Claimant's Account Dept. Failure to do so will result in charges defaulting to the Claiman'ts own Dept.</a:t>
          </a:r>
        </a:p>
        <a:p>
          <a:pPr algn="l" rtl="0">
            <a:lnSpc>
              <a:spcPts val="900"/>
            </a:lnSpc>
            <a:defRPr sz="1000"/>
          </a:pPr>
          <a:r>
            <a:rPr lang="en-GB" sz="9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(See "Authorisation" Statement)</a:t>
          </a:r>
        </a:p>
        <a:p>
          <a:pPr algn="l" rtl="0">
            <a:lnSpc>
              <a:spcPts val="900"/>
            </a:lnSpc>
            <a:defRPr sz="1000"/>
          </a:pPr>
          <a:r>
            <a:rPr lang="en-GB" sz="9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Dept No.:                      /                          /                  </a:t>
          </a:r>
        </a:p>
        <a:p>
          <a:pPr algn="l" rtl="0">
            <a:lnSpc>
              <a:spcPts val="800"/>
            </a:lnSpc>
            <a:defRPr sz="1000"/>
          </a:pPr>
          <a:endParaRPr lang="en-GB" sz="900" b="0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  <a:p>
          <a:pPr algn="l" rtl="0">
            <a:lnSpc>
              <a:spcPts val="800"/>
            </a:lnSpc>
            <a:defRPr sz="1000"/>
          </a:pPr>
          <a:endParaRPr lang="en-GB" sz="900" b="0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0</xdr:col>
      <xdr:colOff>63500</xdr:colOff>
      <xdr:row>61</xdr:row>
      <xdr:rowOff>25400</xdr:rowOff>
    </xdr:from>
    <xdr:to>
      <xdr:col>10</xdr:col>
      <xdr:colOff>444500</xdr:colOff>
      <xdr:row>67</xdr:row>
      <xdr:rowOff>127000</xdr:rowOff>
    </xdr:to>
    <xdr:sp macro="" textlink="" fLocksText="0">
      <xdr:nvSpPr>
        <xdr:cNvPr id="2051" name="Text Box 3">
          <a:extLst>
            <a:ext uri="{FF2B5EF4-FFF2-40B4-BE49-F238E27FC236}">
              <a16:creationId xmlns:a16="http://schemas.microsoft.com/office/drawing/2014/main" id="{64CC1F29-EC2A-6346-92B6-9F38DF9E0B37}"/>
            </a:ext>
          </a:extLst>
        </xdr:cNvPr>
        <xdr:cNvSpPr txBox="1">
          <a:spLocks noChangeArrowheads="1"/>
        </xdr:cNvSpPr>
      </xdr:nvSpPr>
      <xdr:spPr bwMode="auto">
        <a:xfrm>
          <a:off x="63500" y="12649200"/>
          <a:ext cx="12319000" cy="914400"/>
        </a:xfrm>
        <a:prstGeom prst="rect">
          <a:avLst/>
        </a:prstGeom>
        <a:solidFill>
          <a:srgbClr val="00FF00"/>
        </a:solidFill>
        <a:ln w="9360" cap="sq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I have not submitted a previous claim for the above, and the costs incurred were for business purposes only. </a:t>
          </a: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  <a:p>
          <a:pPr algn="l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Claimant's Signature_____________________________________________________________________                                  Date ______________________  </a:t>
          </a:r>
        </a:p>
      </xdr:txBody>
    </xdr:sp>
    <xdr:clientData/>
  </xdr:twoCellAnchor>
  <xdr:twoCellAnchor>
    <xdr:from>
      <xdr:col>0</xdr:col>
      <xdr:colOff>38100</xdr:colOff>
      <xdr:row>72</xdr:row>
      <xdr:rowOff>63500</xdr:rowOff>
    </xdr:from>
    <xdr:to>
      <xdr:col>10</xdr:col>
      <xdr:colOff>444500</xdr:colOff>
      <xdr:row>77</xdr:row>
      <xdr:rowOff>63500</xdr:rowOff>
    </xdr:to>
    <xdr:sp macro="" textlink="" fLocksText="0">
      <xdr:nvSpPr>
        <xdr:cNvPr id="2052" name="Text Box 4">
          <a:extLst>
            <a:ext uri="{FF2B5EF4-FFF2-40B4-BE49-F238E27FC236}">
              <a16:creationId xmlns:a16="http://schemas.microsoft.com/office/drawing/2014/main" id="{34F68648-A4F0-1344-B9E5-34132C3D411C}"/>
            </a:ext>
          </a:extLst>
        </xdr:cNvPr>
        <xdr:cNvSpPr txBox="1">
          <a:spLocks noChangeArrowheads="1"/>
        </xdr:cNvSpPr>
      </xdr:nvSpPr>
      <xdr:spPr bwMode="auto">
        <a:xfrm>
          <a:off x="38100" y="14058900"/>
          <a:ext cx="12344400" cy="1016000"/>
        </a:xfrm>
        <a:prstGeom prst="rect">
          <a:avLst/>
        </a:prstGeom>
        <a:solidFill>
          <a:srgbClr val="00FF00"/>
        </a:solidFill>
        <a:ln w="9360" cap="sq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APPROVAL:    The above claimed expenses have been incurred for business purposes only, and I am satisfied that they are accurately presented and in compliance with company policy. Any charges to another Manager's Dept. have been agreed previously with the recipient manager.</a:t>
          </a: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  <a:p>
          <a:pPr algn="l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Name (please print)___________________________________   Signature _________________________________________       Date  ________________________</a:t>
          </a:r>
        </a:p>
      </xdr:txBody>
    </xdr:sp>
    <xdr:clientData/>
  </xdr:twoCellAnchor>
  <xdr:twoCellAnchor>
    <xdr:from>
      <xdr:col>0</xdr:col>
      <xdr:colOff>139700</xdr:colOff>
      <xdr:row>54</xdr:row>
      <xdr:rowOff>139700</xdr:rowOff>
    </xdr:from>
    <xdr:to>
      <xdr:col>4</xdr:col>
      <xdr:colOff>406400</xdr:colOff>
      <xdr:row>59</xdr:row>
      <xdr:rowOff>12700</xdr:rowOff>
    </xdr:to>
    <xdr:sp macro="" textlink="" fLocksText="0">
      <xdr:nvSpPr>
        <xdr:cNvPr id="2053" name="Text Box 5">
          <a:extLst>
            <a:ext uri="{FF2B5EF4-FFF2-40B4-BE49-F238E27FC236}">
              <a16:creationId xmlns:a16="http://schemas.microsoft.com/office/drawing/2014/main" id="{8FB30407-1DE8-FC41-86BF-B96C52C64FE3}"/>
            </a:ext>
          </a:extLst>
        </xdr:cNvPr>
        <xdr:cNvSpPr txBox="1">
          <a:spLocks noChangeArrowheads="1"/>
        </xdr:cNvSpPr>
      </xdr:nvSpPr>
      <xdr:spPr bwMode="auto">
        <a:xfrm>
          <a:off x="139700" y="11645900"/>
          <a:ext cx="3390900" cy="762000"/>
        </a:xfrm>
        <a:prstGeom prst="rect">
          <a:avLst/>
        </a:prstGeom>
        <a:solidFill>
          <a:srgbClr val="CCFFFF"/>
        </a:solidFill>
        <a:ln w="9360" cap="sq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/>
        <a:lstStyle/>
        <a:p>
          <a:pPr algn="l" rtl="0">
            <a:defRPr sz="1000"/>
          </a:pPr>
          <a:r>
            <a:rPr lang="en-GB" sz="9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CHARGE OUT DETAILS (to other country)</a:t>
          </a:r>
        </a:p>
        <a:p>
          <a:pPr algn="l" rtl="0">
            <a:defRPr sz="1000"/>
          </a:pPr>
          <a:r>
            <a:rPr lang="en-GB" sz="9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Country:</a:t>
          </a:r>
        </a:p>
        <a:p>
          <a:pPr algn="l" rtl="0">
            <a:defRPr sz="1000"/>
          </a:pPr>
          <a:r>
            <a:rPr lang="en-GB" sz="9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Division:</a:t>
          </a:r>
        </a:p>
        <a:p>
          <a:pPr algn="l" rtl="0">
            <a:defRPr sz="1000"/>
          </a:pPr>
          <a:r>
            <a:rPr lang="en-GB" sz="9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Manager Name:</a:t>
          </a:r>
        </a:p>
        <a:p>
          <a:pPr algn="l" rtl="0">
            <a:defRPr sz="1000"/>
          </a:pPr>
          <a:endParaRPr lang="en-GB" sz="900" b="0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68"/>
  <sheetViews>
    <sheetView tabSelected="1" topLeftCell="A17" zoomScale="75" zoomScaleNormal="75" workbookViewId="0">
      <selection activeCell="M58" sqref="M58"/>
    </sheetView>
  </sheetViews>
  <sheetFormatPr baseColWidth="10" defaultColWidth="5.7109375" defaultRowHeight="16" customHeight="1"/>
  <cols>
    <col min="1" max="1" width="2.42578125" style="1" customWidth="1"/>
    <col min="2" max="2" width="21" style="1" customWidth="1"/>
    <col min="3" max="3" width="9.5703125" style="1" customWidth="1"/>
    <col min="4" max="4" width="20.5703125" style="1" customWidth="1"/>
    <col min="5" max="5" width="9.28515625" style="1" customWidth="1"/>
    <col min="6" max="6" width="8.7109375" style="1" customWidth="1"/>
    <col min="7" max="7" width="9.28515625" style="1" customWidth="1"/>
    <col min="8" max="8" width="7.7109375" style="1" customWidth="1"/>
    <col min="9" max="9" width="8.42578125" style="1" customWidth="1"/>
    <col min="10" max="10" width="9.85546875" style="1" customWidth="1"/>
    <col min="11" max="11" width="11.85546875" style="1" customWidth="1"/>
    <col min="12" max="12" width="15.28515625" style="1" customWidth="1"/>
    <col min="13" max="13" width="35.28515625" style="1" customWidth="1"/>
    <col min="14" max="14" width="21" style="1" customWidth="1"/>
    <col min="15" max="15" width="2.42578125" style="1" customWidth="1"/>
    <col min="16" max="16384" width="5.7109375" style="1"/>
  </cols>
  <sheetData>
    <row r="1" spans="1:15" ht="17.25" customHeight="1">
      <c r="A1" s="2"/>
      <c r="B1" s="3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5"/>
    </row>
    <row r="2" spans="1:15" ht="17.2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5"/>
    </row>
    <row r="3" spans="1:15" ht="17.25" customHeight="1">
      <c r="A3" s="6"/>
      <c r="C3" s="7"/>
      <c r="D3" s="7"/>
      <c r="E3" s="7"/>
      <c r="F3" s="7"/>
      <c r="G3" s="7"/>
      <c r="H3" s="7"/>
      <c r="I3" s="7"/>
      <c r="J3" s="7"/>
      <c r="O3" s="5"/>
    </row>
    <row r="4" spans="1:15" ht="17.25" customHeight="1">
      <c r="A4" s="6"/>
      <c r="C4" s="7"/>
      <c r="D4" s="7"/>
      <c r="E4" s="7"/>
      <c r="F4" s="7"/>
      <c r="G4" s="7"/>
      <c r="H4" s="7"/>
      <c r="I4" s="7"/>
      <c r="J4" s="7"/>
      <c r="O4" s="5"/>
    </row>
    <row r="5" spans="1:15" ht="17.25" customHeight="1">
      <c r="A5" s="6"/>
      <c r="C5" s="7"/>
      <c r="D5" s="7"/>
      <c r="E5" s="7"/>
      <c r="F5" s="7"/>
      <c r="G5" s="7"/>
      <c r="H5" s="7"/>
      <c r="I5" s="7"/>
      <c r="J5" s="7"/>
      <c r="O5" s="5"/>
    </row>
    <row r="6" spans="1:15" ht="17.25" customHeight="1">
      <c r="A6" s="6"/>
      <c r="C6" s="7"/>
      <c r="D6" s="7"/>
      <c r="E6" s="7"/>
      <c r="F6" s="7"/>
      <c r="G6" s="7"/>
      <c r="H6" s="7"/>
      <c r="I6" s="7"/>
      <c r="J6" s="7"/>
      <c r="O6" s="5"/>
    </row>
    <row r="7" spans="1:15" ht="17.25" customHeight="1">
      <c r="A7" s="6"/>
      <c r="B7" s="7"/>
      <c r="C7" s="8"/>
      <c r="D7" s="8"/>
      <c r="E7" s="8"/>
      <c r="F7" s="8"/>
      <c r="G7" s="8"/>
      <c r="H7" s="9"/>
      <c r="I7" s="9"/>
      <c r="J7" s="9"/>
      <c r="K7" s="7"/>
      <c r="L7" s="7"/>
      <c r="M7" s="7"/>
      <c r="N7" s="7"/>
      <c r="O7" s="5"/>
    </row>
    <row r="8" spans="1:15" ht="17.25" customHeight="1">
      <c r="A8" s="6"/>
      <c r="B8" s="7"/>
      <c r="C8" s="8"/>
      <c r="D8" s="8"/>
      <c r="E8" s="8"/>
      <c r="F8" s="8"/>
      <c r="G8" s="8"/>
      <c r="H8" s="9"/>
      <c r="I8" s="9"/>
      <c r="J8" s="9"/>
      <c r="K8" s="7"/>
      <c r="L8" s="7"/>
      <c r="M8" s="7"/>
      <c r="N8" s="7"/>
      <c r="O8" s="5"/>
    </row>
    <row r="9" spans="1:15" ht="21" customHeight="1">
      <c r="A9" s="6"/>
      <c r="B9" s="10" t="s">
        <v>0</v>
      </c>
      <c r="C9" s="8"/>
      <c r="D9" s="8" t="s">
        <v>1</v>
      </c>
      <c r="E9" s="8"/>
      <c r="F9" s="8"/>
      <c r="G9" s="8"/>
      <c r="H9" s="9"/>
      <c r="I9" s="9"/>
      <c r="J9" s="9"/>
      <c r="K9" s="9"/>
      <c r="L9" s="9"/>
      <c r="M9" s="11"/>
      <c r="N9" s="7"/>
      <c r="O9" s="5"/>
    </row>
    <row r="10" spans="1:15" ht="21" customHeight="1">
      <c r="A10" s="6"/>
      <c r="B10" s="10" t="s">
        <v>2</v>
      </c>
      <c r="C10" s="9"/>
      <c r="D10" s="12">
        <v>44197</v>
      </c>
      <c r="E10" s="12" t="s">
        <v>3</v>
      </c>
      <c r="F10" s="9"/>
      <c r="G10" s="9"/>
      <c r="H10" s="9"/>
      <c r="I10" s="9"/>
      <c r="J10" s="9"/>
      <c r="K10" s="10"/>
      <c r="L10"/>
      <c r="M10" s="8"/>
      <c r="N10" s="7"/>
      <c r="O10" s="5"/>
    </row>
    <row r="11" spans="1:15" ht="21" customHeight="1">
      <c r="A11" s="6"/>
      <c r="B11" s="10" t="s">
        <v>4</v>
      </c>
      <c r="C11" s="7"/>
      <c r="D11" s="9" t="s">
        <v>5</v>
      </c>
      <c r="E11" s="7"/>
      <c r="F11" s="7"/>
      <c r="G11" s="7"/>
      <c r="H11" s="7"/>
      <c r="I11" s="7"/>
      <c r="J11" s="7"/>
      <c r="K11" s="10"/>
      <c r="L11" s="10"/>
      <c r="M11" s="10"/>
      <c r="N11" s="7"/>
      <c r="O11" s="5"/>
    </row>
    <row r="12" spans="1:15" ht="21" customHeight="1">
      <c r="A12" s="6"/>
      <c r="B12" s="10" t="s">
        <v>6</v>
      </c>
      <c r="C12" s="7"/>
      <c r="D12" s="11" t="s">
        <v>7</v>
      </c>
      <c r="E12" s="7"/>
      <c r="F12" s="7"/>
      <c r="G12" s="7"/>
      <c r="H12" s="7"/>
      <c r="I12" s="7"/>
      <c r="J12" s="7"/>
      <c r="K12" s="10"/>
      <c r="L12" s="10"/>
      <c r="M12" s="13"/>
      <c r="N12" s="7"/>
      <c r="O12" s="5"/>
    </row>
    <row r="13" spans="1:15" ht="21" customHeight="1">
      <c r="A13" s="6"/>
      <c r="B13" s="10"/>
      <c r="C13" s="7"/>
      <c r="D13" s="7"/>
      <c r="E13" s="7"/>
      <c r="F13" s="7"/>
      <c r="G13" s="7"/>
      <c r="H13" s="7"/>
      <c r="I13" s="7"/>
      <c r="J13" s="7"/>
      <c r="K13" s="10"/>
      <c r="L13" s="10"/>
      <c r="M13" s="13"/>
      <c r="N13" s="7"/>
      <c r="O13" s="5"/>
    </row>
    <row r="14" spans="1:15" ht="21" customHeight="1">
      <c r="A14" s="6"/>
      <c r="B14" s="10"/>
      <c r="C14" s="7"/>
      <c r="D14" s="7"/>
      <c r="E14" s="7"/>
      <c r="F14" s="7"/>
      <c r="G14" s="7"/>
      <c r="H14" s="7"/>
      <c r="I14" s="7"/>
      <c r="J14" s="7"/>
      <c r="K14" s="10"/>
      <c r="L14" s="10"/>
      <c r="M14" s="13"/>
      <c r="N14" s="7"/>
      <c r="O14" s="5"/>
    </row>
    <row r="15" spans="1:15" ht="16.5" customHeight="1">
      <c r="A15" s="6"/>
      <c r="B15" s="14"/>
      <c r="C15" s="15"/>
      <c r="D15" s="16" t="s">
        <v>8</v>
      </c>
      <c r="E15" s="17"/>
      <c r="F15" s="16"/>
      <c r="G15" s="17"/>
      <c r="H15" s="17"/>
      <c r="I15" s="18"/>
      <c r="J15" s="19"/>
      <c r="K15" s="10"/>
      <c r="L15" s="20"/>
      <c r="M15" s="10"/>
      <c r="N15" s="7"/>
      <c r="O15" s="5"/>
    </row>
    <row r="16" spans="1:15" ht="87" customHeight="1">
      <c r="A16" s="6"/>
      <c r="B16" s="21" t="s">
        <v>9</v>
      </c>
      <c r="C16" s="22" t="s">
        <v>10</v>
      </c>
      <c r="D16" s="23"/>
      <c r="E16" s="24"/>
      <c r="F16" s="25"/>
      <c r="G16" s="25"/>
      <c r="H16" s="26"/>
      <c r="I16" s="27"/>
      <c r="J16" s="28"/>
      <c r="K16" s="7"/>
      <c r="L16" s="29"/>
      <c r="M16" s="7"/>
      <c r="N16" s="7"/>
      <c r="O16" s="5"/>
    </row>
    <row r="17" spans="1:17" ht="18" customHeight="1">
      <c r="A17" s="6"/>
      <c r="B17" s="30" t="str">
        <f>TEXT(D10,"dddd")</f>
        <v>Friday</v>
      </c>
      <c r="C17" s="31">
        <f>D10</f>
        <v>44197</v>
      </c>
      <c r="D17" s="32"/>
      <c r="E17" s="33"/>
      <c r="F17" s="33"/>
      <c r="G17" s="32"/>
      <c r="H17" s="34"/>
      <c r="I17" s="35"/>
      <c r="J17" s="36"/>
      <c r="K17" s="37"/>
      <c r="L17" s="38"/>
      <c r="M17" s="7"/>
      <c r="N17" s="7"/>
      <c r="O17" s="5"/>
    </row>
    <row r="18" spans="1:17" ht="18" customHeight="1">
      <c r="A18" s="6"/>
      <c r="B18" s="30" t="str">
        <f t="shared" ref="B18:B46" si="0">TEXT(C18,"dddd")</f>
        <v>Saturday</v>
      </c>
      <c r="C18" s="31">
        <f t="shared" ref="C18:C46" si="1">C17+1</f>
        <v>44198</v>
      </c>
      <c r="D18" s="32"/>
      <c r="E18" s="33"/>
      <c r="F18" s="33"/>
      <c r="G18" s="32"/>
      <c r="H18" s="34"/>
      <c r="I18" s="35"/>
      <c r="J18" s="36"/>
      <c r="N18" s="7"/>
      <c r="O18" s="5"/>
    </row>
    <row r="19" spans="1:17" ht="19.5" customHeight="1">
      <c r="A19" s="6"/>
      <c r="B19" s="30" t="str">
        <f t="shared" si="0"/>
        <v>Sunday</v>
      </c>
      <c r="C19" s="31">
        <f t="shared" si="1"/>
        <v>44199</v>
      </c>
      <c r="D19" s="32">
        <v>8</v>
      </c>
      <c r="E19" s="33"/>
      <c r="F19" s="33"/>
      <c r="G19" s="32"/>
      <c r="H19" s="34"/>
      <c r="I19" s="35"/>
      <c r="J19" s="36"/>
      <c r="K19" s="38"/>
      <c r="L19" s="37"/>
      <c r="M19" s="37"/>
      <c r="N19" s="7"/>
      <c r="O19" s="5"/>
    </row>
    <row r="20" spans="1:17" ht="19.5" customHeight="1">
      <c r="A20" s="6"/>
      <c r="B20" s="30" t="str">
        <f t="shared" si="0"/>
        <v>Monday</v>
      </c>
      <c r="C20" s="31">
        <f t="shared" si="1"/>
        <v>44200</v>
      </c>
      <c r="D20" s="32">
        <v>8</v>
      </c>
      <c r="E20" s="33"/>
      <c r="F20" s="33"/>
      <c r="G20" s="32"/>
      <c r="H20" s="34"/>
      <c r="I20" s="35"/>
      <c r="J20" s="36"/>
      <c r="K20" s="39"/>
      <c r="L20" s="37"/>
      <c r="M20" s="38"/>
      <c r="N20" s="7"/>
      <c r="O20" s="5"/>
    </row>
    <row r="21" spans="1:17" ht="19.5" customHeight="1">
      <c r="A21" s="6"/>
      <c r="B21" s="30" t="str">
        <f t="shared" si="0"/>
        <v>Tuesday</v>
      </c>
      <c r="C21" s="31">
        <f t="shared" si="1"/>
        <v>44201</v>
      </c>
      <c r="D21" s="32">
        <v>8</v>
      </c>
      <c r="E21" s="33"/>
      <c r="F21" s="33"/>
      <c r="G21" s="32"/>
      <c r="H21" s="34"/>
      <c r="I21" s="35"/>
      <c r="J21" s="36"/>
      <c r="K21" s="40"/>
      <c r="L21" s="40"/>
      <c r="M21" s="40"/>
      <c r="N21" s="7"/>
      <c r="O21" s="5"/>
    </row>
    <row r="22" spans="1:17" ht="19.5" customHeight="1">
      <c r="A22" s="6"/>
      <c r="B22" s="30" t="str">
        <f t="shared" si="0"/>
        <v>Wednesday</v>
      </c>
      <c r="C22" s="31">
        <f t="shared" si="1"/>
        <v>44202</v>
      </c>
      <c r="D22" s="32">
        <v>8</v>
      </c>
      <c r="E22" s="33"/>
      <c r="F22" s="33"/>
      <c r="G22" s="32"/>
      <c r="H22" s="34"/>
      <c r="I22" s="35"/>
      <c r="J22" s="36"/>
      <c r="K22" s="38"/>
      <c r="L22" s="38"/>
      <c r="M22" s="37"/>
      <c r="N22" s="7"/>
      <c r="O22" s="5"/>
    </row>
    <row r="23" spans="1:17" ht="19.5" customHeight="1">
      <c r="A23" s="6"/>
      <c r="B23" s="30" t="str">
        <f t="shared" si="0"/>
        <v>Thursday</v>
      </c>
      <c r="C23" s="31">
        <f t="shared" si="1"/>
        <v>44203</v>
      </c>
      <c r="D23" s="32">
        <v>8</v>
      </c>
      <c r="E23" s="33"/>
      <c r="F23" s="33"/>
      <c r="G23" s="32"/>
      <c r="H23" s="34"/>
      <c r="I23" s="35"/>
      <c r="J23" s="36"/>
      <c r="K23" s="40"/>
      <c r="L23" s="38"/>
      <c r="M23" s="37"/>
      <c r="N23" s="7"/>
      <c r="O23" s="5"/>
    </row>
    <row r="24" spans="1:17" ht="19.5" customHeight="1">
      <c r="A24" s="6"/>
      <c r="B24" s="30" t="str">
        <f t="shared" si="0"/>
        <v>Friday</v>
      </c>
      <c r="C24" s="31">
        <f t="shared" si="1"/>
        <v>44204</v>
      </c>
      <c r="D24" s="32"/>
      <c r="E24" s="33"/>
      <c r="F24" s="33"/>
      <c r="G24" s="32"/>
      <c r="H24" s="34"/>
      <c r="I24" s="35"/>
      <c r="J24" s="36"/>
      <c r="K24" s="38"/>
      <c r="L24" s="38"/>
      <c r="M24" s="37"/>
      <c r="N24" s="7"/>
      <c r="O24" s="5"/>
    </row>
    <row r="25" spans="1:17" ht="19.5" customHeight="1">
      <c r="A25" s="6"/>
      <c r="B25" s="30" t="str">
        <f t="shared" si="0"/>
        <v>Saturday</v>
      </c>
      <c r="C25" s="31">
        <f t="shared" si="1"/>
        <v>44205</v>
      </c>
      <c r="D25" s="32"/>
      <c r="E25" s="33"/>
      <c r="F25" s="33"/>
      <c r="G25" s="32"/>
      <c r="H25" s="34"/>
      <c r="I25" s="35"/>
      <c r="J25" s="36"/>
      <c r="K25" s="38"/>
      <c r="L25" s="38"/>
      <c r="M25" s="37"/>
      <c r="N25" s="7"/>
      <c r="O25" s="5"/>
    </row>
    <row r="26" spans="1:17" ht="19.5" customHeight="1">
      <c r="A26" s="6"/>
      <c r="B26" s="30" t="str">
        <f t="shared" si="0"/>
        <v>Sunday</v>
      </c>
      <c r="C26" s="31">
        <f t="shared" si="1"/>
        <v>44206</v>
      </c>
      <c r="D26" s="32">
        <v>8</v>
      </c>
      <c r="E26" s="33"/>
      <c r="F26" s="33"/>
      <c r="G26" s="32"/>
      <c r="H26" s="34"/>
      <c r="I26" s="35"/>
      <c r="J26" s="36"/>
      <c r="K26" s="41"/>
      <c r="L26" s="37"/>
      <c r="M26" s="42"/>
      <c r="N26" s="7"/>
      <c r="O26" s="5"/>
      <c r="Q26" s="43"/>
    </row>
    <row r="27" spans="1:17" ht="19.5" customHeight="1">
      <c r="A27" s="6"/>
      <c r="B27" s="30" t="str">
        <f t="shared" si="0"/>
        <v>Monday</v>
      </c>
      <c r="C27" s="31">
        <f t="shared" si="1"/>
        <v>44207</v>
      </c>
      <c r="D27" s="32">
        <v>8</v>
      </c>
      <c r="E27" s="33"/>
      <c r="F27" s="33"/>
      <c r="G27" s="32"/>
      <c r="H27" s="34"/>
      <c r="I27" s="35"/>
      <c r="J27" s="36"/>
      <c r="K27" s="38"/>
      <c r="L27" s="37"/>
      <c r="M27" s="38"/>
      <c r="N27" s="7"/>
      <c r="O27" s="5"/>
    </row>
    <row r="28" spans="1:17" ht="19.5" customHeight="1">
      <c r="A28" s="6"/>
      <c r="B28" s="30" t="str">
        <f t="shared" si="0"/>
        <v>Tuesday</v>
      </c>
      <c r="C28" s="31">
        <f t="shared" si="1"/>
        <v>44208</v>
      </c>
      <c r="D28" s="32">
        <v>8</v>
      </c>
      <c r="E28" s="33"/>
      <c r="F28" s="33"/>
      <c r="G28" s="32"/>
      <c r="H28" s="34"/>
      <c r="I28" s="35"/>
      <c r="J28" s="36"/>
      <c r="K28" s="44"/>
      <c r="L28" s="37"/>
      <c r="M28" s="38"/>
      <c r="N28" s="7"/>
      <c r="O28" s="5"/>
    </row>
    <row r="29" spans="1:17" ht="19.5" customHeight="1">
      <c r="A29" s="6"/>
      <c r="B29" s="30" t="str">
        <f t="shared" si="0"/>
        <v>Wednesday</v>
      </c>
      <c r="C29" s="31">
        <f t="shared" si="1"/>
        <v>44209</v>
      </c>
      <c r="D29" s="32">
        <v>8</v>
      </c>
      <c r="E29" s="33"/>
      <c r="F29" s="33"/>
      <c r="G29" s="32"/>
      <c r="H29" s="34"/>
      <c r="I29" s="35"/>
      <c r="J29" s="36"/>
      <c r="K29" s="7"/>
      <c r="L29" s="29"/>
      <c r="M29" s="7"/>
      <c r="N29" s="7"/>
      <c r="O29" s="5"/>
    </row>
    <row r="30" spans="1:17" ht="19.5" customHeight="1">
      <c r="A30" s="6"/>
      <c r="B30" s="30" t="str">
        <f t="shared" si="0"/>
        <v>Thursday</v>
      </c>
      <c r="C30" s="31">
        <f t="shared" si="1"/>
        <v>44210</v>
      </c>
      <c r="D30" s="32">
        <v>8</v>
      </c>
      <c r="E30" s="33"/>
      <c r="F30" s="33"/>
      <c r="G30" s="32"/>
      <c r="H30" s="34"/>
      <c r="I30" s="35"/>
      <c r="J30" s="36"/>
      <c r="K30" s="7"/>
      <c r="L30" s="29"/>
      <c r="M30" s="7"/>
      <c r="N30" s="7"/>
      <c r="O30" s="5"/>
    </row>
    <row r="31" spans="1:17" ht="19.5" customHeight="1">
      <c r="A31" s="6"/>
      <c r="B31" s="30" t="str">
        <f t="shared" si="0"/>
        <v>Friday</v>
      </c>
      <c r="C31" s="31">
        <f t="shared" si="1"/>
        <v>44211</v>
      </c>
      <c r="D31" s="32"/>
      <c r="E31" s="33"/>
      <c r="F31" s="33"/>
      <c r="G31" s="32"/>
      <c r="H31" s="34"/>
      <c r="I31" s="35"/>
      <c r="J31" s="36"/>
      <c r="K31" s="39"/>
      <c r="L31" s="37"/>
      <c r="M31" s="38"/>
      <c r="N31" s="7"/>
      <c r="O31" s="5"/>
    </row>
    <row r="32" spans="1:17" ht="19.5" customHeight="1">
      <c r="A32" s="6"/>
      <c r="B32" s="30" t="str">
        <f t="shared" si="0"/>
        <v>Saturday</v>
      </c>
      <c r="C32" s="31">
        <f t="shared" si="1"/>
        <v>44212</v>
      </c>
      <c r="D32" s="32"/>
      <c r="E32" s="33"/>
      <c r="F32" s="33"/>
      <c r="G32" s="32"/>
      <c r="H32" s="34"/>
      <c r="I32" s="35"/>
      <c r="J32" s="36"/>
      <c r="K32" s="39"/>
      <c r="L32" s="37"/>
      <c r="M32" s="38"/>
      <c r="N32" s="7"/>
      <c r="O32" s="5"/>
      <c r="Q32" s="40"/>
    </row>
    <row r="33" spans="1:17" ht="19.5" customHeight="1">
      <c r="A33" s="6"/>
      <c r="B33" s="30" t="str">
        <f t="shared" si="0"/>
        <v>Sunday</v>
      </c>
      <c r="C33" s="31">
        <f t="shared" si="1"/>
        <v>44213</v>
      </c>
      <c r="D33" s="32">
        <v>8</v>
      </c>
      <c r="E33" s="33"/>
      <c r="F33" s="33"/>
      <c r="G33" s="32"/>
      <c r="H33" s="34"/>
      <c r="I33" s="35"/>
      <c r="J33" s="36"/>
      <c r="N33" s="7"/>
      <c r="O33" s="5"/>
      <c r="Q33" s="40"/>
    </row>
    <row r="34" spans="1:17" ht="19.5" customHeight="1">
      <c r="A34" s="6"/>
      <c r="B34" s="30" t="str">
        <f t="shared" si="0"/>
        <v>Monday</v>
      </c>
      <c r="C34" s="31">
        <f t="shared" si="1"/>
        <v>44214</v>
      </c>
      <c r="D34" s="32">
        <v>8</v>
      </c>
      <c r="E34" s="33"/>
      <c r="F34" s="33"/>
      <c r="G34" s="32"/>
      <c r="H34" s="34"/>
      <c r="I34" s="35"/>
      <c r="J34" s="36"/>
      <c r="K34" s="44"/>
      <c r="L34" s="37"/>
      <c r="M34" s="38"/>
      <c r="N34" s="7"/>
      <c r="O34" s="5"/>
    </row>
    <row r="35" spans="1:17" ht="19.5" customHeight="1">
      <c r="A35" s="6"/>
      <c r="B35" s="30" t="str">
        <f t="shared" si="0"/>
        <v>Tuesday</v>
      </c>
      <c r="C35" s="31">
        <f t="shared" si="1"/>
        <v>44215</v>
      </c>
      <c r="D35" s="32">
        <v>8</v>
      </c>
      <c r="E35" s="33"/>
      <c r="F35" s="33"/>
      <c r="G35" s="32"/>
      <c r="H35" s="34"/>
      <c r="I35" s="35"/>
      <c r="J35" s="36"/>
      <c r="K35" s="44"/>
      <c r="L35" s="37"/>
      <c r="M35" s="38"/>
      <c r="N35" s="7"/>
      <c r="O35" s="5"/>
    </row>
    <row r="36" spans="1:17" ht="19.5" customHeight="1">
      <c r="A36" s="6"/>
      <c r="B36" s="30" t="str">
        <f t="shared" si="0"/>
        <v>Wednesday</v>
      </c>
      <c r="C36" s="31">
        <f t="shared" si="1"/>
        <v>44216</v>
      </c>
      <c r="D36" s="32">
        <v>8</v>
      </c>
      <c r="E36" s="33"/>
      <c r="F36" s="33"/>
      <c r="G36" s="32"/>
      <c r="H36" s="34"/>
      <c r="I36" s="35"/>
      <c r="J36" s="36"/>
      <c r="K36" s="44"/>
      <c r="L36" s="37"/>
      <c r="M36" s="38"/>
      <c r="N36" s="7"/>
      <c r="O36" s="5"/>
    </row>
    <row r="37" spans="1:17" ht="19.5" customHeight="1">
      <c r="A37" s="6"/>
      <c r="B37" s="30" t="str">
        <f t="shared" si="0"/>
        <v>Thursday</v>
      </c>
      <c r="C37" s="31">
        <f t="shared" si="1"/>
        <v>44217</v>
      </c>
      <c r="D37" s="32">
        <v>8</v>
      </c>
      <c r="E37" s="33"/>
      <c r="F37" s="33"/>
      <c r="G37" s="32"/>
      <c r="H37" s="34"/>
      <c r="I37" s="35"/>
      <c r="J37" s="36"/>
      <c r="K37" s="44"/>
      <c r="L37" s="37"/>
      <c r="M37" s="38"/>
      <c r="N37" s="7"/>
      <c r="O37" s="5"/>
    </row>
    <row r="38" spans="1:17" ht="19.5" customHeight="1">
      <c r="A38" s="6"/>
      <c r="B38" s="30" t="str">
        <f t="shared" si="0"/>
        <v>Friday</v>
      </c>
      <c r="C38" s="31">
        <f t="shared" si="1"/>
        <v>44218</v>
      </c>
      <c r="D38" s="32"/>
      <c r="E38" s="33"/>
      <c r="F38" s="33"/>
      <c r="G38" s="32"/>
      <c r="H38" s="34"/>
      <c r="I38" s="35"/>
      <c r="J38" s="36"/>
      <c r="K38" s="44"/>
      <c r="L38" s="37"/>
      <c r="M38" s="38"/>
      <c r="N38" s="7"/>
      <c r="O38" s="5"/>
    </row>
    <row r="39" spans="1:17" ht="19.5" customHeight="1">
      <c r="A39" s="6"/>
      <c r="B39" s="30" t="str">
        <f t="shared" si="0"/>
        <v>Saturday</v>
      </c>
      <c r="C39" s="31">
        <f t="shared" si="1"/>
        <v>44219</v>
      </c>
      <c r="D39" s="32"/>
      <c r="E39" s="33"/>
      <c r="F39" s="33"/>
      <c r="G39" s="32"/>
      <c r="H39" s="34"/>
      <c r="I39" s="35"/>
      <c r="J39" s="36"/>
      <c r="K39" s="44"/>
      <c r="L39" s="37"/>
      <c r="M39" s="38"/>
      <c r="N39" s="7"/>
      <c r="O39" s="5"/>
    </row>
    <row r="40" spans="1:17" ht="19.5" customHeight="1">
      <c r="A40" s="6"/>
      <c r="B40" s="30" t="str">
        <f t="shared" si="0"/>
        <v>Sunday</v>
      </c>
      <c r="C40" s="31">
        <f t="shared" si="1"/>
        <v>44220</v>
      </c>
      <c r="D40" s="32">
        <v>8</v>
      </c>
      <c r="E40" s="33"/>
      <c r="F40" s="33"/>
      <c r="G40" s="32"/>
      <c r="H40" s="34"/>
      <c r="I40" s="35"/>
      <c r="J40" s="36"/>
      <c r="K40" s="7"/>
      <c r="L40" s="29"/>
      <c r="M40" s="7"/>
      <c r="N40" s="7"/>
      <c r="O40" s="5"/>
    </row>
    <row r="41" spans="1:17" ht="19.5" customHeight="1">
      <c r="A41" s="6"/>
      <c r="B41" s="30" t="str">
        <f t="shared" si="0"/>
        <v>Monday</v>
      </c>
      <c r="C41" s="31">
        <f t="shared" si="1"/>
        <v>44221</v>
      </c>
      <c r="D41" s="32">
        <v>8</v>
      </c>
      <c r="E41" s="33"/>
      <c r="F41" s="33"/>
      <c r="G41" s="32"/>
      <c r="H41" s="34"/>
      <c r="I41" s="35"/>
      <c r="J41" s="36"/>
      <c r="K41" s="7"/>
      <c r="L41" s="29"/>
      <c r="M41" s="7"/>
      <c r="N41" s="7"/>
      <c r="O41" s="5"/>
    </row>
    <row r="42" spans="1:17" ht="19.5" customHeight="1">
      <c r="A42" s="6"/>
      <c r="B42" s="30" t="str">
        <f t="shared" si="0"/>
        <v>Tuesday</v>
      </c>
      <c r="C42" s="31">
        <f t="shared" si="1"/>
        <v>44222</v>
      </c>
      <c r="D42" s="32">
        <v>8</v>
      </c>
      <c r="E42" s="33"/>
      <c r="F42" s="33"/>
      <c r="G42" s="32"/>
      <c r="H42" s="34"/>
      <c r="I42" s="35"/>
      <c r="J42" s="36"/>
      <c r="K42" s="39"/>
      <c r="L42" s="37"/>
      <c r="M42" s="38"/>
      <c r="N42" s="7"/>
      <c r="O42" s="5"/>
    </row>
    <row r="43" spans="1:17" ht="19.5" customHeight="1">
      <c r="A43" s="6"/>
      <c r="B43" s="30" t="str">
        <f t="shared" si="0"/>
        <v>Wednesday</v>
      </c>
      <c r="C43" s="31">
        <f t="shared" si="1"/>
        <v>44223</v>
      </c>
      <c r="D43" s="32">
        <v>8</v>
      </c>
      <c r="E43" s="45"/>
      <c r="F43" s="33"/>
      <c r="G43" s="32"/>
      <c r="H43" s="34"/>
      <c r="I43" s="35"/>
      <c r="J43" s="36"/>
      <c r="K43" s="39"/>
      <c r="L43" s="37"/>
      <c r="M43" s="38"/>
      <c r="N43" s="7"/>
      <c r="O43" s="5"/>
    </row>
    <row r="44" spans="1:17" ht="19.5" customHeight="1">
      <c r="A44" s="6"/>
      <c r="B44" s="30" t="str">
        <f t="shared" si="0"/>
        <v>Thursday</v>
      </c>
      <c r="C44" s="31">
        <f t="shared" si="1"/>
        <v>44224</v>
      </c>
      <c r="D44" s="32">
        <v>8</v>
      </c>
      <c r="E44" s="33"/>
      <c r="F44" s="33"/>
      <c r="G44" s="32"/>
      <c r="H44" s="34"/>
      <c r="I44" s="35"/>
      <c r="J44" s="36"/>
      <c r="N44" s="7"/>
      <c r="O44" s="5"/>
    </row>
    <row r="45" spans="1:17" ht="19.5" customHeight="1">
      <c r="A45" s="6"/>
      <c r="B45" s="30" t="str">
        <f t="shared" si="0"/>
        <v>Friday</v>
      </c>
      <c r="C45" s="31">
        <f t="shared" si="1"/>
        <v>44225</v>
      </c>
      <c r="D45" s="32"/>
      <c r="E45" s="33"/>
      <c r="F45" s="33"/>
      <c r="G45" s="32"/>
      <c r="H45" s="34"/>
      <c r="I45" s="35"/>
      <c r="J45" s="36"/>
      <c r="K45" s="38"/>
      <c r="L45" s="37"/>
      <c r="M45" s="29"/>
      <c r="N45" s="7"/>
      <c r="O45" s="5"/>
    </row>
    <row r="46" spans="1:17" ht="19.5" customHeight="1">
      <c r="A46" s="6"/>
      <c r="B46" s="30" t="str">
        <f t="shared" si="0"/>
        <v>Saturday</v>
      </c>
      <c r="C46" s="31">
        <f t="shared" si="1"/>
        <v>44226</v>
      </c>
      <c r="D46" s="32"/>
      <c r="E46" s="33"/>
      <c r="F46" s="33"/>
      <c r="G46" s="32"/>
      <c r="H46" s="34"/>
      <c r="I46" s="35"/>
      <c r="J46" s="36"/>
      <c r="K46" s="46" t="s">
        <v>11</v>
      </c>
      <c r="L46" s="47"/>
      <c r="M46" s="48"/>
      <c r="N46" s="7"/>
      <c r="O46" s="5"/>
    </row>
    <row r="47" spans="1:17" ht="19.5" customHeight="1">
      <c r="A47" s="6"/>
      <c r="B47" s="49" t="s">
        <v>12</v>
      </c>
      <c r="C47" s="31">
        <v>44196</v>
      </c>
      <c r="D47" s="32">
        <v>8</v>
      </c>
      <c r="E47" s="33"/>
      <c r="F47" s="33"/>
      <c r="G47" s="32"/>
      <c r="H47" s="34"/>
      <c r="I47" s="35"/>
      <c r="J47" s="36"/>
      <c r="K47" s="50"/>
      <c r="L47" s="51"/>
      <c r="M47" s="52"/>
      <c r="N47" s="7"/>
      <c r="O47" s="5"/>
    </row>
    <row r="48" spans="1:17" ht="19.5" customHeight="1">
      <c r="A48" s="6"/>
      <c r="B48" s="49"/>
      <c r="C48" s="31"/>
      <c r="D48" s="32"/>
      <c r="E48" s="33"/>
      <c r="F48" s="33"/>
      <c r="G48" s="32"/>
      <c r="H48" s="34"/>
      <c r="I48" s="35"/>
      <c r="J48" s="36"/>
      <c r="K48" s="53"/>
      <c r="L48" s="29"/>
      <c r="M48" s="54"/>
      <c r="N48" s="7"/>
      <c r="O48" s="5"/>
    </row>
    <row r="49" spans="1:15" ht="19.5" customHeight="1">
      <c r="A49" s="6"/>
      <c r="B49" s="55"/>
      <c r="C49" s="56"/>
      <c r="D49" s="57"/>
      <c r="E49" s="58"/>
      <c r="F49" s="58"/>
      <c r="G49" s="57"/>
      <c r="H49" s="59"/>
      <c r="I49" s="60"/>
      <c r="J49" s="36"/>
      <c r="K49" s="61" t="s">
        <v>13</v>
      </c>
      <c r="L49" s="29"/>
      <c r="M49" s="54" t="s">
        <v>14</v>
      </c>
      <c r="N49" s="7"/>
      <c r="O49" s="5"/>
    </row>
    <row r="50" spans="1:15" ht="19.5" customHeight="1">
      <c r="A50" s="6"/>
      <c r="B50" s="62" t="s">
        <v>15</v>
      </c>
      <c r="C50" s="11"/>
      <c r="D50" s="11">
        <f>COUNT(D17:D49)</f>
        <v>21</v>
      </c>
      <c r="E50" s="11">
        <f>SUM(E17:E49)</f>
        <v>0</v>
      </c>
      <c r="F50" s="11">
        <f>SUM(F17:F49)</f>
        <v>0</v>
      </c>
      <c r="G50" s="11">
        <f>SUM(G17:G49)</f>
        <v>0</v>
      </c>
      <c r="H50" s="11">
        <f>SUM(H17:H49)</f>
        <v>0</v>
      </c>
      <c r="I50" s="11">
        <f>SUM(I17:I49)</f>
        <v>0</v>
      </c>
      <c r="J50" s="63"/>
      <c r="K50" s="64"/>
      <c r="L50" s="29"/>
      <c r="M50" s="65"/>
      <c r="N50" s="7"/>
      <c r="O50" s="5"/>
    </row>
    <row r="51" spans="1:15" ht="19.5" customHeight="1">
      <c r="A51" s="6"/>
      <c r="B51" s="7"/>
      <c r="C51" s="7"/>
      <c r="D51" s="7"/>
      <c r="E51" s="7"/>
      <c r="F51" s="7"/>
      <c r="G51" s="7"/>
      <c r="H51" s="63"/>
      <c r="I51" s="63"/>
      <c r="J51" s="63"/>
      <c r="K51" s="66" t="s">
        <v>16</v>
      </c>
      <c r="L51" s="67"/>
      <c r="M51" s="68"/>
      <c r="N51" s="7"/>
      <c r="O51" s="5"/>
    </row>
    <row r="52" spans="1:15" ht="19.5" customHeight="1">
      <c r="A52" s="6"/>
      <c r="B52" s="7"/>
      <c r="C52" s="7"/>
      <c r="D52" s="7"/>
      <c r="E52" s="7"/>
      <c r="F52" s="7"/>
      <c r="G52" s="7"/>
      <c r="H52" s="63"/>
      <c r="I52" s="63"/>
      <c r="J52" s="63"/>
      <c r="K52" s="40"/>
      <c r="L52" s="37"/>
      <c r="M52" s="37"/>
      <c r="N52" s="7"/>
      <c r="O52" s="5"/>
    </row>
    <row r="53" spans="1:15" ht="19.5" customHeight="1">
      <c r="A53" s="6"/>
      <c r="B53" s="69" t="s">
        <v>17</v>
      </c>
      <c r="C53" s="70"/>
      <c r="D53" s="70"/>
      <c r="E53" s="70"/>
      <c r="F53" s="71"/>
      <c r="G53" s="71"/>
      <c r="H53" s="71"/>
      <c r="I53" s="71"/>
      <c r="J53" s="71"/>
      <c r="K53" s="71"/>
      <c r="L53" s="70"/>
      <c r="M53" s="72"/>
      <c r="N53" s="7"/>
      <c r="O53" s="5"/>
    </row>
    <row r="54" spans="1:15" ht="19.5" customHeight="1">
      <c r="A54" s="6"/>
      <c r="B54" s="73"/>
      <c r="C54" s="74"/>
      <c r="D54" s="74"/>
      <c r="E54" s="74"/>
      <c r="F54" s="75"/>
      <c r="G54" s="75"/>
      <c r="H54" s="75"/>
      <c r="I54" s="75"/>
      <c r="J54" s="75"/>
      <c r="K54" s="75"/>
      <c r="L54" s="74"/>
      <c r="M54" s="76"/>
      <c r="N54" s="7"/>
      <c r="O54" s="5"/>
    </row>
    <row r="55" spans="1:15" ht="19.5" customHeight="1">
      <c r="A55" s="6"/>
      <c r="B55" s="77"/>
      <c r="C55" s="29"/>
      <c r="D55" s="29"/>
      <c r="E55" s="29"/>
      <c r="F55" s="7"/>
      <c r="G55" s="7"/>
      <c r="H55" s="7"/>
      <c r="I55" s="7"/>
      <c r="J55" s="7"/>
      <c r="K55" s="7"/>
      <c r="L55" s="29"/>
      <c r="M55" s="78"/>
      <c r="N55" s="7"/>
      <c r="O55" s="5"/>
    </row>
    <row r="56" spans="1:15" ht="16" customHeight="1">
      <c r="A56" s="6"/>
      <c r="B56" s="79" t="s">
        <v>18</v>
      </c>
      <c r="C56" s="29"/>
      <c r="D56" s="29" t="s">
        <v>19</v>
      </c>
      <c r="E56" s="29"/>
      <c r="F56" s="29"/>
      <c r="G56" s="29"/>
      <c r="H56" s="7"/>
      <c r="I56" s="7"/>
      <c r="J56" s="7"/>
      <c r="K56" s="7"/>
      <c r="L56" s="29" t="s">
        <v>20</v>
      </c>
      <c r="M56" s="149">
        <v>44227</v>
      </c>
      <c r="N56" s="7"/>
      <c r="O56" s="5"/>
    </row>
    <row r="57" spans="1:15" ht="16" customHeight="1">
      <c r="A57" s="6"/>
      <c r="B57" s="77"/>
      <c r="C57" s="29"/>
      <c r="D57" s="29"/>
      <c r="E57" s="29"/>
      <c r="F57" s="29"/>
      <c r="G57" s="29"/>
      <c r="H57" s="7"/>
      <c r="I57" s="7"/>
      <c r="J57" s="7"/>
      <c r="K57" s="7"/>
      <c r="L57" s="7"/>
      <c r="M57" s="80"/>
      <c r="N57" s="7"/>
      <c r="O57" s="5"/>
    </row>
    <row r="58" spans="1:15" ht="16" customHeight="1">
      <c r="A58" s="6"/>
      <c r="B58" s="77"/>
      <c r="C58" s="29"/>
      <c r="D58" s="29"/>
      <c r="E58" s="29"/>
      <c r="F58" s="29"/>
      <c r="G58" s="29"/>
      <c r="H58" s="7"/>
      <c r="I58" s="7"/>
      <c r="J58" s="7"/>
      <c r="K58" s="7"/>
      <c r="L58" s="7"/>
      <c r="M58" s="80"/>
      <c r="N58" s="7"/>
      <c r="O58" s="5"/>
    </row>
    <row r="59" spans="1:15" ht="16" customHeight="1">
      <c r="A59" s="6"/>
      <c r="B59" s="79" t="s">
        <v>21</v>
      </c>
      <c r="C59" s="29"/>
      <c r="D59" s="29" t="s">
        <v>22</v>
      </c>
      <c r="E59" s="29"/>
      <c r="F59" s="29"/>
      <c r="G59" s="29"/>
      <c r="H59" s="7"/>
      <c r="I59" s="7"/>
      <c r="J59" s="7"/>
      <c r="K59" s="7"/>
      <c r="L59" s="29" t="s">
        <v>20</v>
      </c>
      <c r="M59" s="81"/>
      <c r="N59" s="7"/>
      <c r="O59" s="5"/>
    </row>
    <row r="60" spans="1:15" ht="16" customHeight="1">
      <c r="A60" s="6"/>
      <c r="B60" s="77"/>
      <c r="C60" s="29"/>
      <c r="D60" s="29"/>
      <c r="E60" s="29"/>
      <c r="F60" s="7"/>
      <c r="G60" s="7"/>
      <c r="H60" s="7"/>
      <c r="I60" s="7"/>
      <c r="J60" s="7"/>
      <c r="K60" s="7"/>
      <c r="L60" s="29"/>
      <c r="M60" s="78"/>
      <c r="N60" s="7"/>
      <c r="O60" s="5"/>
    </row>
    <row r="61" spans="1:15" ht="16" customHeight="1">
      <c r="A61" s="6"/>
      <c r="B61" s="77"/>
      <c r="C61" s="29"/>
      <c r="D61" s="29"/>
      <c r="E61" s="29"/>
      <c r="F61" s="7"/>
      <c r="G61" s="7"/>
      <c r="H61" s="7"/>
      <c r="I61" s="7"/>
      <c r="J61" s="7"/>
      <c r="K61" s="7"/>
      <c r="L61" s="29"/>
      <c r="M61" s="78"/>
      <c r="N61" s="7"/>
      <c r="O61" s="5"/>
    </row>
    <row r="62" spans="1:15" ht="16" customHeight="1">
      <c r="A62" s="6"/>
      <c r="B62" s="79" t="s">
        <v>23</v>
      </c>
      <c r="C62" s="29"/>
      <c r="D62" s="29" t="s">
        <v>24</v>
      </c>
      <c r="E62" s="29"/>
      <c r="F62" s="29"/>
      <c r="G62" s="29"/>
      <c r="H62" s="7"/>
      <c r="I62" s="7"/>
      <c r="J62" s="7"/>
      <c r="K62" s="7"/>
      <c r="L62" s="29" t="s">
        <v>20</v>
      </c>
      <c r="M62" s="80" t="s">
        <v>25</v>
      </c>
      <c r="N62" s="7"/>
      <c r="O62" s="5"/>
    </row>
    <row r="63" spans="1:15" ht="16" customHeight="1">
      <c r="A63" s="6"/>
      <c r="B63" s="77" t="s">
        <v>26</v>
      </c>
      <c r="C63" s="7"/>
      <c r="D63" s="7"/>
      <c r="E63" s="7"/>
      <c r="F63" s="7"/>
      <c r="G63" s="7"/>
      <c r="H63" s="7"/>
      <c r="I63" s="7"/>
      <c r="J63" s="7"/>
      <c r="K63" s="7"/>
      <c r="L63" s="29"/>
      <c r="M63" s="78"/>
      <c r="N63" s="7"/>
      <c r="O63" s="5"/>
    </row>
    <row r="64" spans="1:15" ht="16" customHeight="1">
      <c r="A64" s="6"/>
      <c r="B64" s="82"/>
      <c r="C64" s="83"/>
      <c r="D64" s="83"/>
      <c r="E64" s="83"/>
      <c r="F64" s="83"/>
      <c r="G64" s="83"/>
      <c r="H64" s="83"/>
      <c r="I64" s="83"/>
      <c r="J64" s="83"/>
      <c r="K64" s="83"/>
      <c r="L64" s="84"/>
      <c r="M64" s="85"/>
      <c r="N64" s="7"/>
      <c r="O64" s="5"/>
    </row>
    <row r="65" spans="1:15" ht="16" customHeight="1">
      <c r="A65" s="6"/>
      <c r="B65" s="7"/>
      <c r="C65" s="7"/>
      <c r="D65" s="7"/>
      <c r="E65" s="7"/>
      <c r="F65" s="7"/>
      <c r="G65" s="7"/>
      <c r="H65" s="7"/>
      <c r="I65" s="7"/>
      <c r="J65" s="7"/>
      <c r="K65" s="7"/>
      <c r="L65" s="29"/>
      <c r="M65" s="7"/>
      <c r="N65" s="7"/>
      <c r="O65" s="5"/>
    </row>
    <row r="66" spans="1:15" ht="16" customHeight="1">
      <c r="A66" s="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7"/>
      <c r="M66" s="86"/>
      <c r="N66" s="7"/>
      <c r="O66" s="5"/>
    </row>
    <row r="67" spans="1:15" ht="16" customHeight="1">
      <c r="A67" s="6"/>
      <c r="N67" s="7"/>
      <c r="O67" s="5"/>
    </row>
    <row r="68" spans="1:15" ht="16" customHeight="1">
      <c r="A68" s="88"/>
      <c r="N68" s="89"/>
      <c r="O68" s="5"/>
    </row>
  </sheetData>
  <sheetProtection selectLockedCells="1" selectUnlockedCells="1"/>
  <pageMargins left="0.27569444444444446" right="0.27569444444444446" top="0.5" bottom="0.5" header="0.51180555555555551" footer="0.51180555555555551"/>
  <pageSetup paperSize="9" firstPageNumber="0" orientation="portrait" horizontalDpi="300" verticalDpi="300"/>
  <headerFooter alignWithMargins="0"/>
  <colBreaks count="1" manualBreakCount="1">
    <brk id="15" max="1048575" man="1"/>
  </colBreaks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9"/>
  <sheetViews>
    <sheetView zoomScale="87" zoomScaleNormal="87" workbookViewId="0">
      <selection activeCell="H43" sqref="H43"/>
    </sheetView>
  </sheetViews>
  <sheetFormatPr baseColWidth="10" defaultColWidth="5.7109375" defaultRowHeight="16"/>
  <cols>
    <col min="1" max="1" width="4.7109375" customWidth="1"/>
    <col min="2" max="2" width="12.28515625" customWidth="1"/>
    <col min="3" max="3" width="8.42578125" customWidth="1"/>
    <col min="4" max="4" width="9.7109375" customWidth="1"/>
    <col min="5" max="5" width="7.7109375" customWidth="1"/>
    <col min="6" max="6" width="34.85546875" customWidth="1"/>
    <col min="7" max="8" width="13.28515625" customWidth="1"/>
    <col min="9" max="9" width="13" customWidth="1"/>
    <col min="10" max="10" width="17" customWidth="1"/>
    <col min="11" max="11" width="5.140625" customWidth="1"/>
  </cols>
  <sheetData>
    <row r="1" spans="1:12" s="1" customFormat="1" ht="43" customHeight="1">
      <c r="A1" s="2"/>
      <c r="B1" s="3"/>
      <c r="C1" s="4"/>
      <c r="D1" s="4"/>
      <c r="E1" s="4"/>
      <c r="F1" s="4"/>
      <c r="G1" s="4"/>
      <c r="H1" s="4"/>
      <c r="I1" s="4"/>
      <c r="J1" s="4"/>
      <c r="K1" s="90"/>
      <c r="L1" s="5"/>
    </row>
    <row r="2" spans="1:12" s="1" customFormat="1">
      <c r="A2" s="6"/>
      <c r="B2" s="7"/>
      <c r="C2" s="7"/>
      <c r="D2" s="7"/>
      <c r="E2" s="7"/>
      <c r="F2" s="7"/>
      <c r="G2" s="7"/>
      <c r="H2" s="7"/>
      <c r="I2" s="7"/>
      <c r="J2" s="7"/>
      <c r="K2" s="91"/>
      <c r="L2" s="5"/>
    </row>
    <row r="3" spans="1:12" s="1" customFormat="1" ht="10" customHeight="1">
      <c r="A3" s="6"/>
      <c r="B3" s="7"/>
      <c r="C3" s="7"/>
      <c r="D3" s="7"/>
      <c r="E3" s="7"/>
      <c r="F3" s="7"/>
      <c r="G3" s="7"/>
      <c r="H3" s="7"/>
      <c r="I3" s="7"/>
      <c r="J3" s="7"/>
      <c r="K3" s="91"/>
      <c r="L3" s="5"/>
    </row>
    <row r="4" spans="1:12" s="1" customFormat="1" ht="16" customHeight="1">
      <c r="A4" s="6"/>
      <c r="B4" s="92"/>
      <c r="C4" s="92"/>
      <c r="D4" s="92"/>
      <c r="E4" s="92"/>
      <c r="F4" s="93"/>
      <c r="G4" s="93"/>
      <c r="H4" s="93"/>
      <c r="I4" s="93"/>
      <c r="J4" s="93"/>
      <c r="K4" s="91"/>
      <c r="L4" s="5"/>
    </row>
    <row r="5" spans="1:12" s="1" customFormat="1" ht="16" customHeight="1">
      <c r="A5" s="6"/>
      <c r="B5" s="92"/>
      <c r="C5" s="93"/>
      <c r="D5" s="93"/>
      <c r="E5" s="93"/>
      <c r="F5" s="93"/>
      <c r="G5" s="93"/>
      <c r="H5" s="93"/>
      <c r="I5" s="93"/>
      <c r="J5" s="93"/>
      <c r="K5" s="91"/>
      <c r="L5" s="5"/>
    </row>
    <row r="6" spans="1:12" s="1" customFormat="1" ht="18" customHeight="1">
      <c r="A6" s="6"/>
      <c r="B6" s="94"/>
      <c r="C6" s="95" t="s">
        <v>27</v>
      </c>
      <c r="D6" s="92"/>
      <c r="E6" s="93"/>
      <c r="F6" s="93"/>
      <c r="G6" s="93"/>
      <c r="H6" s="92" t="s">
        <v>28</v>
      </c>
      <c r="I6" s="94"/>
      <c r="J6" s="96" t="s">
        <v>29</v>
      </c>
      <c r="K6" s="97"/>
      <c r="L6" s="5"/>
    </row>
    <row r="7" spans="1:12" s="1" customFormat="1" ht="10" customHeight="1">
      <c r="A7" s="6"/>
      <c r="B7" s="98"/>
      <c r="C7" s="7"/>
      <c r="D7" s="7"/>
      <c r="E7" s="7"/>
      <c r="F7" s="7"/>
      <c r="G7" s="7"/>
      <c r="H7" s="7"/>
      <c r="I7" s="98"/>
      <c r="J7" s="99"/>
      <c r="K7" s="97"/>
      <c r="L7" s="5"/>
    </row>
    <row r="8" spans="1:12" s="1" customFormat="1" ht="16" customHeight="1">
      <c r="A8" s="6"/>
      <c r="B8" s="100"/>
      <c r="C8" s="101" t="s">
        <v>30</v>
      </c>
      <c r="D8" s="101"/>
      <c r="E8" s="100" t="s">
        <v>31</v>
      </c>
      <c r="F8" s="102"/>
      <c r="G8" s="147" t="s">
        <v>32</v>
      </c>
      <c r="H8" s="147"/>
      <c r="I8" s="100" t="s">
        <v>10</v>
      </c>
      <c r="J8" s="103" t="s">
        <v>33</v>
      </c>
      <c r="K8" s="104"/>
      <c r="L8" s="5"/>
    </row>
    <row r="9" spans="1:12" s="1" customFormat="1" ht="16" customHeight="1">
      <c r="A9" s="6"/>
      <c r="B9" s="148"/>
      <c r="C9" s="148"/>
      <c r="D9" s="148"/>
      <c r="E9" s="105"/>
      <c r="F9" s="102"/>
      <c r="G9" s="148"/>
      <c r="H9" s="148"/>
      <c r="I9" s="106"/>
      <c r="J9" s="107"/>
      <c r="K9" s="104"/>
      <c r="L9" s="5"/>
    </row>
    <row r="10" spans="1:12" s="1" customFormat="1" ht="7" customHeight="1">
      <c r="A10" s="6"/>
      <c r="B10" s="98"/>
      <c r="C10" s="98"/>
      <c r="D10" s="98"/>
      <c r="E10" s="98"/>
      <c r="F10" s="7"/>
      <c r="G10" s="98"/>
      <c r="H10" s="98"/>
      <c r="I10" s="98"/>
      <c r="J10" s="103"/>
      <c r="K10" s="97"/>
      <c r="L10" s="5"/>
    </row>
    <row r="11" spans="1:12" s="1" customFormat="1" ht="16" customHeight="1">
      <c r="A11" s="6"/>
      <c r="B11" s="108" t="s">
        <v>34</v>
      </c>
      <c r="C11" s="109"/>
      <c r="D11" s="109"/>
      <c r="E11" s="109"/>
      <c r="F11" s="109"/>
      <c r="G11" s="109"/>
      <c r="H11" s="109"/>
      <c r="I11" s="109"/>
      <c r="J11" s="109"/>
      <c r="K11" s="97"/>
      <c r="L11" s="5"/>
    </row>
    <row r="12" spans="1:12" s="1" customFormat="1" ht="16" customHeight="1">
      <c r="A12" s="6"/>
      <c r="B12" s="108" t="s">
        <v>35</v>
      </c>
      <c r="C12" s="109"/>
      <c r="D12" s="109"/>
      <c r="E12" s="109"/>
      <c r="F12" s="109"/>
      <c r="G12" s="109"/>
      <c r="H12" s="109"/>
      <c r="I12" s="109"/>
      <c r="J12" s="109"/>
      <c r="K12" s="97"/>
      <c r="L12" s="5"/>
    </row>
    <row r="13" spans="1:12" s="1" customFormat="1" ht="12.75" hidden="1" customHeight="1">
      <c r="A13" s="6"/>
      <c r="B13" s="98"/>
      <c r="C13" s="98"/>
      <c r="D13" s="98"/>
      <c r="E13" s="98"/>
      <c r="F13" s="98"/>
      <c r="G13" s="98"/>
      <c r="H13" s="98"/>
      <c r="I13" s="107"/>
      <c r="J13" s="110"/>
      <c r="K13" s="91"/>
      <c r="L13" s="5"/>
    </row>
    <row r="14" spans="1:12" s="1" customFormat="1" ht="18.75" customHeight="1">
      <c r="A14" s="6"/>
      <c r="B14" s="29" t="s">
        <v>10</v>
      </c>
      <c r="C14" s="29" t="s">
        <v>36</v>
      </c>
      <c r="D14" s="7"/>
      <c r="E14" s="7"/>
      <c r="F14" s="7"/>
      <c r="G14" s="7"/>
      <c r="H14" s="7"/>
      <c r="I14" s="111"/>
      <c r="J14" s="112" t="s">
        <v>37</v>
      </c>
      <c r="K14" s="113"/>
      <c r="L14" s="5"/>
    </row>
    <row r="15" spans="1:12" s="1" customFormat="1" ht="19" customHeight="1">
      <c r="A15" s="6"/>
      <c r="B15" s="114"/>
      <c r="C15" s="107"/>
      <c r="D15" s="115"/>
      <c r="E15" s="115"/>
      <c r="F15" s="115"/>
      <c r="G15" s="115"/>
      <c r="H15" s="115"/>
      <c r="I15" s="116"/>
      <c r="J15" s="117"/>
      <c r="K15" s="97"/>
      <c r="L15" s="5"/>
    </row>
    <row r="16" spans="1:12" s="1" customFormat="1" ht="19" customHeight="1">
      <c r="A16" s="6"/>
      <c r="B16" s="114"/>
      <c r="C16" s="107"/>
      <c r="D16" s="115"/>
      <c r="E16" s="115"/>
      <c r="F16" s="115"/>
      <c r="G16" s="115"/>
      <c r="H16" s="115"/>
      <c r="I16" s="116"/>
      <c r="J16" s="117"/>
      <c r="K16" s="97"/>
      <c r="L16" s="5"/>
    </row>
    <row r="17" spans="1:12" s="1" customFormat="1" ht="19" customHeight="1">
      <c r="A17" s="6"/>
      <c r="B17" s="114"/>
      <c r="C17" s="107"/>
      <c r="D17" s="115"/>
      <c r="E17" s="115"/>
      <c r="F17" s="115"/>
      <c r="G17" s="115"/>
      <c r="H17" s="115"/>
      <c r="I17" s="116"/>
      <c r="J17" s="117"/>
      <c r="K17" s="97"/>
      <c r="L17" s="5"/>
    </row>
    <row r="18" spans="1:12" s="1" customFormat="1" ht="19" customHeight="1">
      <c r="A18" s="6"/>
      <c r="B18" s="114"/>
      <c r="C18" s="107"/>
      <c r="D18" s="115"/>
      <c r="E18" s="115"/>
      <c r="F18" s="115"/>
      <c r="G18" s="115"/>
      <c r="H18" s="115"/>
      <c r="I18" s="118"/>
      <c r="J18" s="117"/>
      <c r="K18" s="97"/>
      <c r="L18" s="5"/>
    </row>
    <row r="19" spans="1:12" s="1" customFormat="1" ht="18.75" customHeight="1">
      <c r="A19" s="6"/>
      <c r="B19" s="119" t="s">
        <v>10</v>
      </c>
      <c r="C19" s="119" t="s">
        <v>38</v>
      </c>
      <c r="D19" s="119"/>
      <c r="E19" s="119"/>
      <c r="F19" s="119"/>
      <c r="G19" s="98"/>
      <c r="H19" s="98"/>
      <c r="I19" s="98"/>
      <c r="J19" s="98"/>
      <c r="K19" s="91"/>
      <c r="L19" s="5"/>
    </row>
    <row r="20" spans="1:12" s="1" customFormat="1" ht="17.25" customHeight="1">
      <c r="A20" s="6"/>
      <c r="B20" s="114"/>
      <c r="C20" s="107"/>
      <c r="D20" s="115"/>
      <c r="E20" s="115"/>
      <c r="F20" s="115"/>
      <c r="G20" s="115"/>
      <c r="H20" s="115"/>
      <c r="I20" s="120"/>
      <c r="J20" s="117"/>
      <c r="K20" s="97"/>
      <c r="L20" s="5"/>
    </row>
    <row r="21" spans="1:12" s="1" customFormat="1" ht="17.25" customHeight="1">
      <c r="A21" s="6"/>
      <c r="B21" s="114"/>
      <c r="C21" s="107"/>
      <c r="D21" s="115"/>
      <c r="E21" s="115"/>
      <c r="F21" s="115"/>
      <c r="G21" s="115"/>
      <c r="H21" s="115"/>
      <c r="I21" s="120"/>
      <c r="J21" s="117"/>
      <c r="K21" s="97"/>
      <c r="L21" s="5"/>
    </row>
    <row r="22" spans="1:12" s="1" customFormat="1" ht="17.25" customHeight="1">
      <c r="A22" s="6"/>
      <c r="B22" s="114"/>
      <c r="C22" s="107"/>
      <c r="D22" s="115"/>
      <c r="E22" s="115"/>
      <c r="F22" s="115"/>
      <c r="G22" s="115"/>
      <c r="H22" s="115"/>
      <c r="I22" s="120"/>
      <c r="J22" s="117"/>
      <c r="K22" s="97"/>
      <c r="L22" s="5"/>
    </row>
    <row r="23" spans="1:12" s="1" customFormat="1" ht="18" customHeight="1">
      <c r="A23" s="6"/>
      <c r="B23" s="114"/>
      <c r="C23" s="107"/>
      <c r="D23" s="115"/>
      <c r="E23" s="115"/>
      <c r="F23" s="115"/>
      <c r="G23" s="115"/>
      <c r="H23" s="115"/>
      <c r="I23" s="120"/>
      <c r="J23" s="117"/>
      <c r="K23" s="97"/>
      <c r="L23" s="5"/>
    </row>
    <row r="24" spans="1:12" s="1" customFormat="1" ht="17.25" customHeight="1">
      <c r="A24" s="6"/>
      <c r="B24" s="114"/>
      <c r="C24" s="107"/>
      <c r="D24" s="115"/>
      <c r="E24" s="115"/>
      <c r="F24" s="115"/>
      <c r="G24" s="115"/>
      <c r="H24" s="115"/>
      <c r="I24" s="120"/>
      <c r="J24" s="117"/>
      <c r="K24" s="97"/>
      <c r="L24" s="5"/>
    </row>
    <row r="25" spans="1:12" s="1" customFormat="1" ht="17.25" customHeight="1">
      <c r="A25" s="121"/>
      <c r="B25" s="114"/>
      <c r="C25" s="107"/>
      <c r="D25" s="115"/>
      <c r="E25" s="115"/>
      <c r="F25" s="115"/>
      <c r="G25" s="115"/>
      <c r="H25" s="115"/>
      <c r="I25" s="120"/>
      <c r="J25" s="117"/>
      <c r="K25" s="97"/>
      <c r="L25" s="5"/>
    </row>
    <row r="26" spans="1:12" s="1" customFormat="1" ht="19" customHeight="1">
      <c r="A26" s="122"/>
      <c r="B26" s="114"/>
      <c r="C26" s="107"/>
      <c r="D26" s="115"/>
      <c r="E26" s="115"/>
      <c r="F26" s="115"/>
      <c r="G26" s="115"/>
      <c r="H26" s="115"/>
      <c r="I26" s="120"/>
      <c r="J26" s="117"/>
      <c r="K26" s="97"/>
      <c r="L26" s="5"/>
    </row>
    <row r="27" spans="1:12" s="1" customFormat="1" ht="19" customHeight="1">
      <c r="A27" s="122"/>
      <c r="B27" s="114"/>
      <c r="C27" s="107"/>
      <c r="D27" s="115"/>
      <c r="E27" s="115"/>
      <c r="F27" s="115"/>
      <c r="G27" s="115"/>
      <c r="H27" s="115"/>
      <c r="I27" s="120"/>
      <c r="J27" s="117"/>
      <c r="K27" s="97"/>
      <c r="L27" s="5"/>
    </row>
    <row r="28" spans="1:12" s="1" customFormat="1" ht="18.75" customHeight="1">
      <c r="A28" s="122"/>
      <c r="B28" s="98"/>
      <c r="C28" s="98"/>
      <c r="D28" s="98"/>
      <c r="E28" s="98"/>
      <c r="F28" s="98"/>
      <c r="G28" s="98"/>
      <c r="H28" s="123"/>
      <c r="I28" s="124" t="s">
        <v>39</v>
      </c>
      <c r="J28" s="117">
        <f>SUM(J15:J27)</f>
        <v>0</v>
      </c>
      <c r="K28" s="125"/>
      <c r="L28" s="5"/>
    </row>
    <row r="29" spans="1:12" s="1" customFormat="1" ht="18.75" customHeight="1">
      <c r="A29" s="122"/>
      <c r="B29" s="29" t="s">
        <v>10</v>
      </c>
      <c r="C29" s="29" t="s">
        <v>40</v>
      </c>
      <c r="D29" s="29"/>
      <c r="E29" s="7"/>
      <c r="F29" s="126"/>
      <c r="G29" s="127"/>
      <c r="H29" s="126"/>
      <c r="I29" s="98"/>
      <c r="J29" s="98"/>
      <c r="K29" s="128"/>
      <c r="L29" s="5"/>
    </row>
    <row r="30" spans="1:12" s="1" customFormat="1" ht="18.75" customHeight="1">
      <c r="A30" s="122"/>
      <c r="B30" s="114"/>
      <c r="C30" s="107"/>
      <c r="D30" s="115"/>
      <c r="E30" s="115"/>
      <c r="F30" s="115"/>
      <c r="G30" s="115"/>
      <c r="H30" s="115"/>
      <c r="I30" s="120"/>
      <c r="J30" s="117"/>
      <c r="K30" s="97"/>
      <c r="L30" s="5"/>
    </row>
    <row r="31" spans="1:12" s="1" customFormat="1" ht="18.75" customHeight="1">
      <c r="A31" s="122"/>
      <c r="B31" s="114"/>
      <c r="C31" s="107"/>
      <c r="D31" s="115"/>
      <c r="E31" s="115"/>
      <c r="F31" s="115"/>
      <c r="G31" s="115"/>
      <c r="H31" s="115"/>
      <c r="I31" s="120"/>
      <c r="J31" s="117"/>
      <c r="K31" s="97"/>
      <c r="L31" s="5"/>
    </row>
    <row r="32" spans="1:12" s="1" customFormat="1" ht="18.75" customHeight="1">
      <c r="A32" s="122"/>
      <c r="B32" s="114"/>
      <c r="C32" s="107"/>
      <c r="D32" s="115"/>
      <c r="E32" s="115"/>
      <c r="F32" s="115"/>
      <c r="G32" s="115"/>
      <c r="H32" s="115"/>
      <c r="I32" s="120"/>
      <c r="J32" s="117"/>
      <c r="K32" s="97"/>
      <c r="L32" s="5"/>
    </row>
    <row r="33" spans="1:12" s="1" customFormat="1" ht="18.75" customHeight="1">
      <c r="A33" s="122"/>
      <c r="B33" s="114"/>
      <c r="C33" s="107"/>
      <c r="D33" s="115"/>
      <c r="E33" s="115"/>
      <c r="F33" s="115"/>
      <c r="G33" s="115"/>
      <c r="H33" s="115"/>
      <c r="I33" s="120"/>
      <c r="J33" s="117"/>
      <c r="K33" s="97"/>
      <c r="L33" s="5"/>
    </row>
    <row r="34" spans="1:12" s="1" customFormat="1" ht="18.75" customHeight="1">
      <c r="A34" s="122"/>
      <c r="B34" s="114"/>
      <c r="C34" s="107"/>
      <c r="D34" s="115"/>
      <c r="E34" s="115"/>
      <c r="F34" s="115"/>
      <c r="G34" s="115"/>
      <c r="H34" s="115"/>
      <c r="I34" s="120"/>
      <c r="J34" s="117"/>
      <c r="K34" s="97"/>
      <c r="L34" s="5"/>
    </row>
    <row r="35" spans="1:12" s="1" customFormat="1" ht="18.75" customHeight="1">
      <c r="A35" s="122"/>
      <c r="B35" s="98"/>
      <c r="C35" s="98"/>
      <c r="D35" s="98"/>
      <c r="E35" s="98"/>
      <c r="F35" s="98"/>
      <c r="G35" s="98"/>
      <c r="H35" s="123"/>
      <c r="I35" s="124" t="s">
        <v>39</v>
      </c>
      <c r="J35" s="117">
        <f>SUM(J30:J34)</f>
        <v>0</v>
      </c>
      <c r="K35" s="125"/>
      <c r="L35" s="5"/>
    </row>
    <row r="36" spans="1:12" s="1" customFormat="1" ht="18.75" customHeight="1">
      <c r="A36" s="122"/>
      <c r="B36" s="29" t="s">
        <v>10</v>
      </c>
      <c r="C36" s="29" t="s">
        <v>40</v>
      </c>
      <c r="D36" s="29"/>
      <c r="E36" s="29"/>
      <c r="F36" s="7"/>
      <c r="G36" s="7"/>
      <c r="H36" s="7"/>
      <c r="I36" s="98"/>
      <c r="J36" s="123"/>
      <c r="K36" s="128"/>
      <c r="L36" s="5"/>
    </row>
    <row r="37" spans="1:12" s="1" customFormat="1" ht="18.75" customHeight="1">
      <c r="A37" s="122"/>
      <c r="B37" s="114"/>
      <c r="C37" s="107"/>
      <c r="D37" s="115"/>
      <c r="E37" s="115"/>
      <c r="F37" s="115"/>
      <c r="G37" s="115"/>
      <c r="H37" s="115"/>
      <c r="I37" s="120"/>
      <c r="J37" s="117"/>
      <c r="K37" s="97"/>
      <c r="L37" s="5"/>
    </row>
    <row r="38" spans="1:12" s="1" customFormat="1" ht="18.75" customHeight="1">
      <c r="A38" s="122"/>
      <c r="B38" s="114"/>
      <c r="C38" s="107"/>
      <c r="D38" s="115"/>
      <c r="E38" s="115"/>
      <c r="F38" s="115"/>
      <c r="G38" s="115"/>
      <c r="H38" s="115"/>
      <c r="I38" s="120"/>
      <c r="J38" s="117"/>
      <c r="K38" s="97"/>
      <c r="L38" s="5"/>
    </row>
    <row r="39" spans="1:12" s="1" customFormat="1" ht="18.75" customHeight="1">
      <c r="A39" s="122"/>
      <c r="B39" s="114"/>
      <c r="C39" s="107"/>
      <c r="D39" s="115"/>
      <c r="E39" s="115"/>
      <c r="F39" s="115"/>
      <c r="G39" s="115"/>
      <c r="H39" s="115"/>
      <c r="I39" s="120"/>
      <c r="J39" s="117"/>
      <c r="K39" s="97"/>
      <c r="L39" s="5"/>
    </row>
    <row r="40" spans="1:12" s="1" customFormat="1" ht="18.75" customHeight="1">
      <c r="A40" s="122"/>
      <c r="B40" s="114"/>
      <c r="C40" s="107"/>
      <c r="D40" s="115"/>
      <c r="E40" s="115"/>
      <c r="F40" s="115"/>
      <c r="G40" s="115"/>
      <c r="H40" s="115"/>
      <c r="I40" s="120"/>
      <c r="J40" s="117"/>
      <c r="K40" s="97"/>
      <c r="L40" s="5"/>
    </row>
    <row r="41" spans="1:12" s="1" customFormat="1" ht="18.75" customHeight="1">
      <c r="A41" s="122"/>
      <c r="B41" s="114"/>
      <c r="C41" s="107"/>
      <c r="D41" s="115"/>
      <c r="E41" s="115"/>
      <c r="F41" s="115"/>
      <c r="G41" s="115"/>
      <c r="H41" s="115"/>
      <c r="I41" s="120"/>
      <c r="J41" s="117"/>
      <c r="K41" s="97"/>
      <c r="L41" s="5"/>
    </row>
    <row r="42" spans="1:12" s="1" customFormat="1" ht="18.75" customHeight="1">
      <c r="A42" s="122"/>
      <c r="B42" s="98"/>
      <c r="C42" s="98"/>
      <c r="D42" s="98"/>
      <c r="E42" s="98"/>
      <c r="F42" s="98"/>
      <c r="G42" s="98"/>
      <c r="H42" s="123"/>
      <c r="I42" s="124" t="s">
        <v>39</v>
      </c>
      <c r="J42" s="117">
        <f>SUM(J37:J41)</f>
        <v>0</v>
      </c>
      <c r="K42" s="125"/>
      <c r="L42" s="5"/>
    </row>
    <row r="43" spans="1:12" s="1" customFormat="1" ht="18.75" customHeight="1">
      <c r="A43" s="122"/>
      <c r="B43" s="29" t="s">
        <v>10</v>
      </c>
      <c r="C43" s="29" t="s">
        <v>41</v>
      </c>
      <c r="D43" s="29"/>
      <c r="E43" s="7"/>
      <c r="F43" s="7"/>
      <c r="G43" s="7"/>
      <c r="H43" s="129" t="s">
        <v>42</v>
      </c>
      <c r="I43" s="98"/>
      <c r="J43" s="98"/>
      <c r="K43" s="128"/>
      <c r="L43" s="5"/>
    </row>
    <row r="44" spans="1:12" s="1" customFormat="1" ht="18.75" customHeight="1">
      <c r="A44" s="122"/>
      <c r="B44" s="114"/>
      <c r="C44" s="107"/>
      <c r="D44" s="115"/>
      <c r="E44" s="115"/>
      <c r="F44" s="115"/>
      <c r="G44" s="115"/>
      <c r="H44" s="107"/>
      <c r="I44" s="118"/>
      <c r="J44" s="130"/>
      <c r="K44" s="97"/>
      <c r="L44" s="5"/>
    </row>
    <row r="45" spans="1:12" s="1" customFormat="1" ht="18.75" customHeight="1">
      <c r="A45" s="122"/>
      <c r="B45" s="114"/>
      <c r="C45" s="107"/>
      <c r="D45" s="115"/>
      <c r="E45" s="115"/>
      <c r="F45" s="115"/>
      <c r="G45" s="115"/>
      <c r="H45" s="107"/>
      <c r="I45" s="118"/>
      <c r="J45" s="130"/>
      <c r="K45" s="97"/>
      <c r="L45" s="5"/>
    </row>
    <row r="46" spans="1:12" s="1" customFormat="1" ht="18.75" customHeight="1">
      <c r="A46" s="122"/>
      <c r="B46" s="114"/>
      <c r="C46" s="107"/>
      <c r="D46" s="115"/>
      <c r="E46" s="115"/>
      <c r="F46" s="115"/>
      <c r="G46" s="115"/>
      <c r="H46" s="107"/>
      <c r="I46" s="118"/>
      <c r="J46" s="130"/>
      <c r="K46" s="97"/>
      <c r="L46" s="5"/>
    </row>
    <row r="47" spans="1:12" s="1" customFormat="1" ht="18.75" customHeight="1">
      <c r="A47" s="122"/>
      <c r="B47" s="114"/>
      <c r="C47" s="107"/>
      <c r="D47" s="115"/>
      <c r="E47" s="115"/>
      <c r="F47" s="115"/>
      <c r="G47" s="115"/>
      <c r="H47" s="107"/>
      <c r="I47" s="118"/>
      <c r="J47" s="130"/>
      <c r="K47" s="97"/>
      <c r="L47" s="5"/>
    </row>
    <row r="48" spans="1:12" s="1" customFormat="1" ht="18.75" customHeight="1">
      <c r="A48" s="122"/>
      <c r="B48" s="114"/>
      <c r="C48" s="107"/>
      <c r="D48" s="115"/>
      <c r="E48" s="115"/>
      <c r="F48" s="115"/>
      <c r="G48" s="115"/>
      <c r="H48" s="107"/>
      <c r="I48" s="118"/>
      <c r="J48" s="130"/>
      <c r="K48" s="125"/>
      <c r="L48" s="5"/>
    </row>
    <row r="49" spans="1:12" s="1" customFormat="1" ht="18.75" customHeight="1">
      <c r="A49" s="131" t="s">
        <v>43</v>
      </c>
      <c r="B49" s="107"/>
      <c r="C49" s="96" t="s">
        <v>44</v>
      </c>
      <c r="D49" s="107"/>
      <c r="E49" s="96" t="s">
        <v>45</v>
      </c>
      <c r="F49" s="110"/>
      <c r="G49" s="132" t="s">
        <v>46</v>
      </c>
      <c r="H49" s="132" t="s">
        <v>47</v>
      </c>
      <c r="I49" s="132" t="s">
        <v>48</v>
      </c>
      <c r="J49" s="133"/>
      <c r="K49" s="128"/>
      <c r="L49" s="5"/>
    </row>
    <row r="50" spans="1:12" s="1" customFormat="1" ht="17.25" customHeight="1">
      <c r="A50" s="6"/>
      <c r="B50" s="98"/>
      <c r="C50" s="7"/>
      <c r="D50" s="98"/>
      <c r="E50" s="7"/>
      <c r="F50" s="98"/>
      <c r="G50" s="134">
        <v>0</v>
      </c>
      <c r="H50" s="117"/>
      <c r="I50" s="117">
        <f>G50*H50</f>
        <v>0</v>
      </c>
      <c r="J50" s="135"/>
      <c r="K50" s="97"/>
      <c r="L50" s="5"/>
    </row>
    <row r="51" spans="1:12" s="1" customFormat="1" ht="19" customHeight="1">
      <c r="A51" s="6"/>
      <c r="B51" s="7"/>
      <c r="C51" s="7"/>
      <c r="D51" s="7"/>
      <c r="E51" s="7"/>
      <c r="F51" s="7"/>
      <c r="G51" s="98"/>
      <c r="H51" s="136"/>
      <c r="I51" s="124" t="s">
        <v>49</v>
      </c>
      <c r="J51" s="117">
        <f>J42+J35+J28</f>
        <v>0</v>
      </c>
      <c r="K51" s="97"/>
      <c r="L51" s="5"/>
    </row>
    <row r="52" spans="1:12" s="1" customFormat="1" ht="3" customHeight="1">
      <c r="A52" s="6"/>
      <c r="B52" s="7"/>
      <c r="C52" s="7"/>
      <c r="D52" s="7"/>
      <c r="E52" s="7"/>
      <c r="F52" s="7"/>
      <c r="G52" s="7"/>
      <c r="H52" s="7"/>
      <c r="I52" s="7"/>
      <c r="J52" s="98"/>
      <c r="K52" s="91"/>
      <c r="L52" s="5"/>
    </row>
    <row r="53" spans="1:12" s="1" customFormat="1" ht="16" customHeight="1">
      <c r="A53" s="6"/>
      <c r="B53" s="7"/>
      <c r="C53" s="7"/>
      <c r="D53" s="7"/>
      <c r="E53" s="7"/>
      <c r="F53" s="29" t="s">
        <v>50</v>
      </c>
      <c r="G53" s="7"/>
      <c r="H53" s="7"/>
      <c r="I53" s="7"/>
      <c r="J53" s="7"/>
      <c r="K53" s="91"/>
      <c r="L53" s="5"/>
    </row>
    <row r="54" spans="1:12" s="1" customFormat="1" ht="2.25" customHeight="1">
      <c r="A54" s="6"/>
      <c r="B54" s="7"/>
      <c r="C54" s="7"/>
      <c r="D54" s="7"/>
      <c r="E54" s="7"/>
      <c r="F54" s="7"/>
      <c r="G54" s="7"/>
      <c r="H54" s="7"/>
      <c r="I54" s="7"/>
      <c r="J54" s="7"/>
      <c r="K54" s="91"/>
      <c r="L54" s="5"/>
    </row>
    <row r="55" spans="1:12" s="1" customFormat="1" ht="19" customHeight="1">
      <c r="A55" s="6"/>
      <c r="B55" s="7"/>
      <c r="C55" s="7"/>
      <c r="D55" s="7"/>
      <c r="E55" s="7"/>
      <c r="F55" s="137" t="s">
        <v>51</v>
      </c>
      <c r="G55" s="107"/>
      <c r="H55" s="99"/>
      <c r="I55" s="137" t="s">
        <v>52</v>
      </c>
      <c r="J55" s="107"/>
      <c r="K55" s="97"/>
      <c r="L55" s="5"/>
    </row>
    <row r="56" spans="1:12" s="1" customFormat="1" ht="10.5" customHeight="1">
      <c r="A56" s="6"/>
      <c r="B56" s="7"/>
      <c r="C56" s="7"/>
      <c r="D56" s="7"/>
      <c r="E56" s="7"/>
      <c r="F56" s="7"/>
      <c r="G56" s="98"/>
      <c r="H56" s="7"/>
      <c r="I56" s="7"/>
      <c r="J56" s="138" t="s">
        <v>53</v>
      </c>
      <c r="K56" s="91"/>
      <c r="L56" s="5"/>
    </row>
    <row r="57" spans="1:12" s="1" customFormat="1" ht="17.25" customHeight="1">
      <c r="A57" s="6"/>
      <c r="B57" s="7"/>
      <c r="C57" s="7"/>
      <c r="D57" s="7"/>
      <c r="E57" s="7"/>
      <c r="F57" s="137" t="s">
        <v>54</v>
      </c>
      <c r="G57" s="139"/>
      <c r="H57" s="109"/>
      <c r="I57" s="109"/>
      <c r="J57" s="94" t="s">
        <v>55</v>
      </c>
      <c r="K57" s="140"/>
      <c r="L57" s="5"/>
    </row>
    <row r="58" spans="1:12" s="1" customFormat="1" ht="18" customHeight="1">
      <c r="A58" s="6"/>
      <c r="B58" s="141"/>
      <c r="C58" s="142"/>
      <c r="D58" s="142"/>
      <c r="E58" s="7"/>
      <c r="F58" s="7"/>
      <c r="G58" s="139"/>
      <c r="H58" s="109"/>
      <c r="I58" s="109"/>
      <c r="J58" s="143">
        <f>+J51-J55</f>
        <v>0</v>
      </c>
      <c r="K58" s="140"/>
      <c r="L58" s="5"/>
    </row>
    <row r="59" spans="1:12" s="1" customFormat="1" ht="6" customHeight="1">
      <c r="A59" s="6"/>
      <c r="B59" s="141"/>
      <c r="C59" s="142"/>
      <c r="D59" s="142"/>
      <c r="E59" s="7"/>
      <c r="F59" s="7"/>
      <c r="G59" s="118"/>
      <c r="H59" s="118"/>
      <c r="I59" s="118"/>
      <c r="J59" s="144"/>
      <c r="K59" s="145"/>
      <c r="L59" s="5"/>
    </row>
    <row r="60" spans="1:12" s="1" customFormat="1" ht="18.75" customHeight="1">
      <c r="A60" s="6"/>
      <c r="B60" s="29" t="s">
        <v>56</v>
      </c>
      <c r="C60" s="7"/>
      <c r="D60" s="7"/>
      <c r="E60" s="7"/>
      <c r="F60" s="7"/>
      <c r="G60" s="7"/>
      <c r="H60" s="7"/>
      <c r="I60" s="7"/>
      <c r="J60" s="7"/>
      <c r="K60" s="128"/>
      <c r="L60" s="5"/>
    </row>
    <row r="61" spans="1:12" s="1" customFormat="1" ht="12.75" hidden="1" customHeight="1">
      <c r="A61" s="6"/>
      <c r="B61" s="7"/>
      <c r="C61" s="7"/>
      <c r="D61" s="7"/>
      <c r="E61" s="7"/>
      <c r="F61" s="7"/>
      <c r="G61" s="7"/>
      <c r="H61" s="7"/>
      <c r="I61" s="7"/>
      <c r="J61" s="7"/>
      <c r="K61" s="7"/>
      <c r="L61" s="5"/>
    </row>
    <row r="62" spans="1:12" s="1" customFormat="1" ht="14.25" customHeight="1">
      <c r="A62" s="6"/>
      <c r="B62" s="7"/>
      <c r="C62" s="7"/>
      <c r="D62" s="7"/>
      <c r="E62" s="7"/>
      <c r="F62" s="7"/>
      <c r="G62" s="7"/>
      <c r="H62" s="7"/>
      <c r="I62" s="7"/>
      <c r="J62" s="7"/>
      <c r="K62" s="91"/>
      <c r="L62" s="5"/>
    </row>
    <row r="63" spans="1:12" s="1" customFormat="1" ht="10" customHeight="1">
      <c r="A63" s="6"/>
      <c r="B63" s="7"/>
      <c r="C63" s="7"/>
      <c r="D63" s="7"/>
      <c r="E63" s="7"/>
      <c r="F63" s="7"/>
      <c r="G63" s="7"/>
      <c r="H63" s="7"/>
      <c r="I63" s="7"/>
      <c r="J63" s="7"/>
      <c r="K63" s="91"/>
      <c r="L63" s="5"/>
    </row>
    <row r="64" spans="1:12" s="1" customFormat="1" ht="10" customHeight="1">
      <c r="A64" s="6"/>
      <c r="B64" s="7"/>
      <c r="C64" s="7"/>
      <c r="D64" s="7"/>
      <c r="E64" s="7"/>
      <c r="F64" s="7"/>
      <c r="G64" s="7"/>
      <c r="H64" s="7"/>
      <c r="I64" s="7"/>
      <c r="J64" s="7"/>
      <c r="K64" s="91"/>
      <c r="L64" s="5"/>
    </row>
    <row r="65" spans="1:12" s="1" customFormat="1" ht="10" customHeight="1">
      <c r="A65" s="6"/>
      <c r="B65" s="7"/>
      <c r="C65" s="7"/>
      <c r="D65" s="7"/>
      <c r="E65" s="7"/>
      <c r="F65" s="7"/>
      <c r="G65" s="7"/>
      <c r="H65" s="7"/>
      <c r="I65" s="7"/>
      <c r="J65" s="7"/>
      <c r="K65" s="91"/>
      <c r="L65" s="5"/>
    </row>
    <row r="66" spans="1:12" s="1" customFormat="1" ht="10" customHeight="1">
      <c r="A66" s="6"/>
      <c r="B66" s="7"/>
      <c r="C66" s="7"/>
      <c r="D66" s="7"/>
      <c r="E66" s="7"/>
      <c r="F66" s="7"/>
      <c r="G66" s="7"/>
      <c r="H66" s="7"/>
      <c r="I66" s="7"/>
      <c r="J66" s="7"/>
      <c r="K66" s="91"/>
      <c r="L66" s="5"/>
    </row>
    <row r="67" spans="1:12" s="1" customFormat="1" ht="10" customHeight="1">
      <c r="A67" s="6"/>
      <c r="B67" s="7"/>
      <c r="C67" s="7"/>
      <c r="D67" s="7"/>
      <c r="E67" s="7"/>
      <c r="F67" s="7"/>
      <c r="G67" s="7"/>
      <c r="H67" s="7"/>
      <c r="I67" s="7"/>
      <c r="J67" s="7"/>
      <c r="K67" s="91"/>
      <c r="L67" s="5"/>
    </row>
    <row r="68" spans="1:12" s="1" customFormat="1" ht="10" customHeight="1">
      <c r="A68" s="6"/>
      <c r="B68" s="7"/>
      <c r="C68" s="7"/>
      <c r="D68" s="7"/>
      <c r="E68" s="7"/>
      <c r="F68" s="7"/>
      <c r="G68" s="7"/>
      <c r="H68" s="7"/>
      <c r="I68" s="7"/>
      <c r="J68" s="7"/>
      <c r="K68" s="91"/>
      <c r="L68" s="5"/>
    </row>
    <row r="69" spans="1:12" s="1" customFormat="1" ht="10" customHeight="1">
      <c r="A69" s="6"/>
      <c r="B69" s="7"/>
      <c r="C69" s="7"/>
      <c r="D69" s="7"/>
      <c r="E69" s="7"/>
      <c r="F69" s="7"/>
      <c r="G69" s="7"/>
      <c r="H69" s="7"/>
      <c r="I69" s="7"/>
      <c r="J69" s="7"/>
      <c r="K69" s="91"/>
      <c r="L69" s="5"/>
    </row>
    <row r="70" spans="1:12" s="1" customFormat="1" ht="9" customHeight="1">
      <c r="A70" s="6"/>
      <c r="B70" s="7"/>
      <c r="C70" s="7"/>
      <c r="D70" s="7"/>
      <c r="E70" s="7"/>
      <c r="F70" s="7"/>
      <c r="G70" s="7"/>
      <c r="H70" s="7"/>
      <c r="I70" s="7"/>
      <c r="J70" s="7"/>
      <c r="K70" s="91"/>
      <c r="L70" s="5"/>
    </row>
    <row r="71" spans="1:12" s="1" customFormat="1" ht="3" customHeight="1">
      <c r="A71" s="6"/>
      <c r="B71" s="7"/>
      <c r="C71" s="7"/>
      <c r="D71" s="7"/>
      <c r="E71" s="7"/>
      <c r="F71" s="7"/>
      <c r="G71" s="7"/>
      <c r="H71" s="7"/>
      <c r="I71" s="7"/>
      <c r="J71" s="7"/>
      <c r="K71" s="91"/>
      <c r="L71" s="5"/>
    </row>
    <row r="72" spans="1:12" s="1" customFormat="1" ht="12" customHeight="1">
      <c r="A72" s="6"/>
      <c r="B72" s="29" t="s">
        <v>57</v>
      </c>
      <c r="C72" s="29"/>
      <c r="D72" s="7"/>
      <c r="E72" s="7"/>
      <c r="F72" s="7"/>
      <c r="G72" s="7"/>
      <c r="H72" s="7"/>
      <c r="I72" s="7"/>
      <c r="J72" s="7"/>
      <c r="K72" s="91"/>
      <c r="L72" s="5"/>
    </row>
    <row r="73" spans="1:12" s="1" customFormat="1">
      <c r="A73" s="6"/>
      <c r="B73" s="7"/>
      <c r="C73" s="7"/>
      <c r="D73" s="7"/>
      <c r="E73" s="7"/>
      <c r="F73" s="7"/>
      <c r="G73" s="7"/>
      <c r="H73" s="7"/>
      <c r="I73" s="7"/>
      <c r="J73" s="7"/>
      <c r="K73" s="91"/>
      <c r="L73" s="5"/>
    </row>
    <row r="74" spans="1:12" s="1" customFormat="1">
      <c r="A74" s="6"/>
      <c r="B74" s="7"/>
      <c r="C74" s="7"/>
      <c r="D74" s="7"/>
      <c r="E74" s="7"/>
      <c r="F74" s="7"/>
      <c r="G74" s="7"/>
      <c r="H74" s="7"/>
      <c r="I74" s="7"/>
      <c r="J74" s="7"/>
      <c r="K74" s="91"/>
      <c r="L74" s="5"/>
    </row>
    <row r="75" spans="1:12" s="1" customFormat="1">
      <c r="A75" s="6"/>
      <c r="B75" s="7"/>
      <c r="C75" s="7"/>
      <c r="D75" s="7"/>
      <c r="E75" s="7"/>
      <c r="F75" s="7"/>
      <c r="G75" s="7"/>
      <c r="H75" s="7"/>
      <c r="I75" s="7"/>
      <c r="J75" s="7"/>
      <c r="K75" s="91"/>
      <c r="L75" s="5"/>
    </row>
    <row r="76" spans="1:12" s="1" customFormat="1">
      <c r="A76" s="6"/>
      <c r="B76" s="7"/>
      <c r="C76" s="7"/>
      <c r="D76" s="7"/>
      <c r="E76" s="7"/>
      <c r="F76" s="7"/>
      <c r="G76" s="7"/>
      <c r="H76" s="7"/>
      <c r="I76" s="7"/>
      <c r="J76" s="7"/>
      <c r="K76" s="91"/>
      <c r="L76" s="5"/>
    </row>
    <row r="77" spans="1:12" s="1" customFormat="1">
      <c r="A77" s="6"/>
      <c r="B77" s="7"/>
      <c r="C77" s="7"/>
      <c r="D77" s="7"/>
      <c r="E77" s="7"/>
      <c r="F77" s="7"/>
      <c r="G77" s="7"/>
      <c r="H77" s="7"/>
      <c r="I77" s="7"/>
      <c r="J77" s="7"/>
      <c r="K77" s="91"/>
      <c r="L77" s="5"/>
    </row>
    <row r="78" spans="1:12" s="1" customFormat="1">
      <c r="A78" s="88"/>
      <c r="B78" s="86"/>
      <c r="C78" s="86"/>
      <c r="D78" s="86"/>
      <c r="E78" s="86"/>
      <c r="F78" s="86"/>
      <c r="G78" s="86"/>
      <c r="H78" s="86"/>
      <c r="I78" s="86"/>
      <c r="J78" s="86"/>
      <c r="K78" s="89"/>
      <c r="L78" s="5"/>
    </row>
    <row r="79" spans="1:12" s="1" customFormat="1">
      <c r="A79" s="146"/>
      <c r="B79" s="146"/>
      <c r="C79" s="146"/>
      <c r="D79" s="146"/>
      <c r="E79" s="146"/>
      <c r="F79" s="146"/>
      <c r="G79" s="146"/>
      <c r="H79" s="146"/>
      <c r="I79" s="146"/>
      <c r="J79" s="146"/>
      <c r="K79" s="146"/>
    </row>
  </sheetData>
  <sheetProtection selectLockedCells="1" selectUnlockedCells="1"/>
  <mergeCells count="3">
    <mergeCell ref="G8:H8"/>
    <mergeCell ref="B9:D9"/>
    <mergeCell ref="G9:H9"/>
  </mergeCells>
  <pageMargins left="0.39374999999999999" right="0.19652777777777777" top="0.98402777777777772" bottom="0.98402777777777772" header="0.51180555555555551" footer="0.51180555555555551"/>
  <pageSetup paperSize="9" scale="56" firstPageNumber="0" orientation="portrait" horizontalDpi="300" verticalDpi="300"/>
  <headerFooter alignWithMargins="0"/>
  <drawing r:id="rId1"/>
</worksheet>
</file>